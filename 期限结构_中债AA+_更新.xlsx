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相关_杂杂杂\科创债ETF曲线构建\"/>
    </mc:Choice>
  </mc:AlternateContent>
  <xr:revisionPtr revIDLastSave="0" documentId="13_ncr:1_{2874ADD5-5CFC-48D1-BFB0-BC0DC0FBA5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期限结构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" i="1" l="1"/>
  <c r="AH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J44" i="1"/>
  <c r="W4" i="1"/>
  <c r="AF106" i="1"/>
  <c r="AG95" i="1"/>
  <c r="AI19" i="1"/>
  <c r="V13" i="1"/>
  <c r="E130" i="1"/>
  <c r="AF156" i="1"/>
  <c r="AE137" i="1"/>
  <c r="M14" i="1"/>
  <c r="U81" i="1"/>
  <c r="R21" i="1"/>
  <c r="AH79" i="1"/>
  <c r="H56" i="1"/>
  <c r="P71" i="1"/>
  <c r="P38" i="1"/>
  <c r="AF91" i="1"/>
  <c r="AH153" i="1"/>
  <c r="AG76" i="1"/>
  <c r="U96" i="1"/>
  <c r="G142" i="1"/>
  <c r="W87" i="1"/>
  <c r="I111" i="1"/>
  <c r="O21" i="1"/>
  <c r="R80" i="1"/>
  <c r="O33" i="1"/>
  <c r="T106" i="1"/>
  <c r="AC31" i="1"/>
  <c r="N76" i="1"/>
  <c r="AF55" i="1"/>
  <c r="W109" i="1"/>
  <c r="AD110" i="1"/>
  <c r="S49" i="1"/>
  <c r="P7" i="1"/>
  <c r="AE77" i="1"/>
  <c r="M83" i="1"/>
  <c r="K19" i="1"/>
  <c r="G62" i="1"/>
  <c r="G97" i="1"/>
  <c r="Y110" i="1"/>
  <c r="AF12" i="1"/>
  <c r="E3" i="1"/>
  <c r="AD25" i="1"/>
  <c r="W48" i="1"/>
  <c r="E85" i="1"/>
  <c r="Z4" i="1"/>
  <c r="K126" i="1"/>
  <c r="W76" i="1"/>
  <c r="V50" i="1"/>
  <c r="R154" i="1"/>
  <c r="W6" i="1"/>
  <c r="J36" i="1"/>
  <c r="S157" i="1"/>
  <c r="W52" i="1"/>
  <c r="W112" i="1"/>
  <c r="X61" i="1"/>
  <c r="N98" i="1"/>
  <c r="Y70" i="1"/>
  <c r="T154" i="1"/>
  <c r="R43" i="1"/>
  <c r="I28" i="1"/>
  <c r="S155" i="1"/>
  <c r="AA117" i="1"/>
  <c r="V27" i="1"/>
  <c r="AG114" i="1"/>
  <c r="M156" i="1"/>
  <c r="J68" i="1"/>
  <c r="F84" i="1"/>
  <c r="X101" i="1"/>
  <c r="M15" i="1"/>
  <c r="AH42" i="1"/>
  <c r="AG158" i="1"/>
  <c r="Q110" i="1"/>
  <c r="G134" i="1"/>
  <c r="Q106" i="1"/>
  <c r="W49" i="1"/>
  <c r="J65" i="1"/>
  <c r="AF51" i="1"/>
  <c r="AI10" i="1"/>
  <c r="W81" i="1"/>
  <c r="U155" i="1"/>
  <c r="AF140" i="1"/>
  <c r="E7" i="1"/>
  <c r="H89" i="1"/>
  <c r="V124" i="1"/>
  <c r="N16" i="1"/>
  <c r="W117" i="1"/>
  <c r="K39" i="1"/>
  <c r="K10" i="1"/>
  <c r="P34" i="1"/>
  <c r="T104" i="1"/>
  <c r="AB54" i="1"/>
  <c r="O85" i="1"/>
  <c r="W137" i="1"/>
  <c r="AE13" i="1"/>
  <c r="I3" i="1"/>
  <c r="F148" i="1"/>
  <c r="P64" i="1"/>
  <c r="O116" i="1"/>
  <c r="C92" i="1"/>
  <c r="D6" i="1"/>
  <c r="AF136" i="1"/>
  <c r="W158" i="1"/>
  <c r="AG62" i="1"/>
  <c r="F119" i="1"/>
  <c r="X71" i="1"/>
  <c r="AB153" i="1"/>
  <c r="J50" i="1"/>
  <c r="J34" i="1"/>
  <c r="G72" i="1"/>
  <c r="H111" i="1"/>
  <c r="V60" i="1"/>
  <c r="J104" i="1"/>
  <c r="Y62" i="1"/>
  <c r="H36" i="1"/>
  <c r="AA137" i="1"/>
  <c r="Z18" i="1"/>
  <c r="Q69" i="1"/>
  <c r="AB134" i="1"/>
  <c r="S127" i="1"/>
  <c r="T66" i="1"/>
  <c r="Z65" i="1"/>
  <c r="X58" i="1"/>
  <c r="P117" i="1"/>
  <c r="AG5" i="1"/>
  <c r="AF15" i="1"/>
  <c r="K157" i="1"/>
  <c r="C26" i="1"/>
  <c r="AF30" i="1"/>
  <c r="N19" i="1"/>
  <c r="AA119" i="1"/>
  <c r="Q86" i="1"/>
  <c r="O64" i="1"/>
  <c r="N89" i="1"/>
  <c r="AG29" i="1"/>
  <c r="O46" i="1"/>
  <c r="R33" i="1"/>
  <c r="S34" i="1"/>
  <c r="E10" i="1"/>
  <c r="AE108" i="1"/>
  <c r="H149" i="1"/>
  <c r="J82" i="1"/>
  <c r="AG7" i="1"/>
  <c r="AC17" i="1"/>
  <c r="L145" i="1"/>
  <c r="X79" i="1"/>
  <c r="Q48" i="1"/>
  <c r="Q91" i="1"/>
  <c r="I132" i="1"/>
  <c r="W59" i="1"/>
  <c r="V65" i="1"/>
  <c r="AB42" i="1"/>
  <c r="C65" i="1"/>
  <c r="O8" i="1"/>
  <c r="AB131" i="1"/>
  <c r="Z127" i="1"/>
  <c r="AE111" i="1"/>
  <c r="M82" i="1"/>
  <c r="S73" i="1"/>
  <c r="N52" i="1"/>
  <c r="AE143" i="1"/>
  <c r="K57" i="1"/>
  <c r="M133" i="1"/>
  <c r="G105" i="1"/>
  <c r="Y139" i="1"/>
  <c r="AA55" i="1"/>
  <c r="J123" i="1"/>
  <c r="X66" i="1"/>
  <c r="W148" i="1"/>
  <c r="G17" i="1"/>
  <c r="AF145" i="1"/>
  <c r="R72" i="1"/>
  <c r="H79" i="1"/>
  <c r="Z147" i="1"/>
  <c r="W120" i="1"/>
  <c r="AH49" i="1"/>
  <c r="F153" i="1"/>
  <c r="F127" i="1"/>
  <c r="T88" i="1"/>
  <c r="Z45" i="1"/>
  <c r="AH99" i="1"/>
  <c r="L10" i="1"/>
  <c r="C112" i="1"/>
  <c r="AH80" i="1"/>
  <c r="AA153" i="1"/>
  <c r="P150" i="1"/>
  <c r="P97" i="1"/>
  <c r="S65" i="1"/>
  <c r="AB100" i="1"/>
  <c r="K16" i="1"/>
  <c r="G56" i="1"/>
  <c r="S17" i="1"/>
  <c r="I37" i="1"/>
  <c r="V7" i="1"/>
  <c r="AD78" i="1"/>
  <c r="AC55" i="1"/>
  <c r="M16" i="1"/>
  <c r="Y41" i="1"/>
  <c r="Q12" i="1"/>
  <c r="AH47" i="1"/>
  <c r="AH118" i="1"/>
  <c r="AG140" i="1"/>
  <c r="W25" i="1"/>
  <c r="I62" i="1"/>
  <c r="Q62" i="1"/>
  <c r="Y128" i="1"/>
  <c r="R120" i="1"/>
  <c r="H131" i="1"/>
  <c r="Z48" i="1"/>
  <c r="R101" i="1"/>
  <c r="P127" i="1"/>
  <c r="O49" i="1"/>
  <c r="AF157" i="1"/>
  <c r="AG56" i="1"/>
  <c r="Y149" i="1"/>
  <c r="E41" i="1"/>
  <c r="U137" i="1"/>
  <c r="R91" i="1"/>
  <c r="H106" i="1"/>
  <c r="F53" i="1"/>
  <c r="T113" i="1"/>
  <c r="U58" i="1"/>
  <c r="Z60" i="1"/>
  <c r="E143" i="1"/>
  <c r="AF90" i="1"/>
  <c r="U33" i="1"/>
  <c r="AB27" i="1"/>
  <c r="H113" i="1"/>
  <c r="C50" i="1"/>
  <c r="T63" i="1"/>
  <c r="AA68" i="1"/>
  <c r="AF72" i="1"/>
  <c r="E53" i="1"/>
  <c r="P67" i="1"/>
  <c r="J71" i="1"/>
  <c r="K129" i="1"/>
  <c r="W111" i="1"/>
  <c r="P142" i="1"/>
  <c r="D51" i="1"/>
  <c r="W121" i="1"/>
  <c r="O136" i="1"/>
  <c r="AD91" i="1"/>
  <c r="L136" i="1"/>
  <c r="E139" i="1"/>
  <c r="D80" i="1"/>
  <c r="X110" i="1"/>
  <c r="X60" i="1"/>
  <c r="AD52" i="1"/>
  <c r="O7" i="1"/>
  <c r="E91" i="1"/>
  <c r="Q75" i="1"/>
  <c r="Y20" i="1"/>
  <c r="Z62" i="1"/>
  <c r="AC129" i="1"/>
  <c r="O53" i="1"/>
  <c r="I89" i="1"/>
  <c r="Q15" i="1"/>
  <c r="X93" i="1"/>
  <c r="AC76" i="1"/>
  <c r="O82" i="1"/>
  <c r="Z146" i="1"/>
  <c r="F95" i="1"/>
  <c r="L42" i="1"/>
  <c r="AD6" i="1"/>
  <c r="F49" i="1"/>
  <c r="AA152" i="1"/>
  <c r="X70" i="1"/>
  <c r="O35" i="1"/>
  <c r="O141" i="1"/>
  <c r="K103" i="1"/>
  <c r="S58" i="1"/>
  <c r="T115" i="1"/>
  <c r="S7" i="1"/>
  <c r="G18" i="1"/>
  <c r="Q81" i="1"/>
  <c r="AF139" i="1"/>
  <c r="Z82" i="1"/>
  <c r="F156" i="1"/>
  <c r="AE148" i="1"/>
  <c r="AA97" i="1"/>
  <c r="H134" i="1"/>
  <c r="E153" i="1"/>
  <c r="L125" i="1"/>
  <c r="R64" i="1"/>
  <c r="P30" i="1"/>
  <c r="AD124" i="1"/>
  <c r="P17" i="1"/>
  <c r="J4" i="1"/>
  <c r="AG2" i="1"/>
  <c r="AE5" i="1"/>
  <c r="N145" i="1"/>
  <c r="O142" i="1"/>
  <c r="E101" i="1"/>
  <c r="P29" i="1"/>
  <c r="F77" i="1"/>
  <c r="I58" i="1"/>
  <c r="R52" i="1"/>
  <c r="AD44" i="1"/>
  <c r="AE82" i="1"/>
  <c r="C111" i="1"/>
  <c r="G120" i="1"/>
  <c r="AD119" i="1"/>
  <c r="AG30" i="1"/>
  <c r="AE156" i="1"/>
  <c r="C128" i="1"/>
  <c r="AE66" i="1"/>
  <c r="AG53" i="1"/>
  <c r="T142" i="1"/>
  <c r="L81" i="1"/>
  <c r="O75" i="1"/>
  <c r="O44" i="1"/>
  <c r="AB11" i="1"/>
  <c r="F34" i="1"/>
  <c r="Y143" i="1"/>
  <c r="U124" i="1"/>
  <c r="AI11" i="1"/>
  <c r="V62" i="1"/>
  <c r="H94" i="1"/>
  <c r="T117" i="1"/>
  <c r="M27" i="1"/>
  <c r="AA4" i="1"/>
  <c r="P115" i="1"/>
  <c r="M98" i="1"/>
  <c r="P118" i="1"/>
  <c r="AB94" i="1"/>
  <c r="AG150" i="1"/>
  <c r="C145" i="1"/>
  <c r="AF133" i="1"/>
  <c r="D144" i="1"/>
  <c r="G87" i="1"/>
  <c r="C33" i="1"/>
  <c r="O154" i="1"/>
  <c r="AI76" i="1"/>
  <c r="AI135" i="1"/>
  <c r="G129" i="1"/>
  <c r="O48" i="1"/>
  <c r="V9" i="1"/>
  <c r="O94" i="1"/>
  <c r="Y148" i="1"/>
  <c r="AG81" i="1"/>
  <c r="S21" i="1"/>
  <c r="U130" i="1"/>
  <c r="V17" i="1"/>
  <c r="L28" i="1"/>
  <c r="AE155" i="1"/>
  <c r="O72" i="1"/>
  <c r="P125" i="1"/>
  <c r="R85" i="1"/>
  <c r="U138" i="1"/>
  <c r="AE11" i="1"/>
  <c r="AH135" i="1"/>
  <c r="D112" i="1"/>
  <c r="Z92" i="1"/>
  <c r="AI121" i="1"/>
  <c r="G50" i="1"/>
  <c r="H150" i="1"/>
  <c r="F47" i="1"/>
  <c r="O134" i="1"/>
  <c r="J143" i="1"/>
  <c r="R35" i="1"/>
  <c r="C35" i="1"/>
  <c r="Q30" i="1"/>
  <c r="M154" i="1"/>
  <c r="N64" i="1"/>
  <c r="M54" i="1"/>
  <c r="E157" i="1"/>
  <c r="AA87" i="1"/>
  <c r="J30" i="1"/>
  <c r="C95" i="1"/>
  <c r="V110" i="1"/>
  <c r="W141" i="1"/>
  <c r="J64" i="1"/>
  <c r="D90" i="1"/>
  <c r="AB62" i="1"/>
  <c r="Z13" i="1"/>
  <c r="AD130" i="1"/>
  <c r="U91" i="1"/>
  <c r="I154" i="1"/>
  <c r="AA94" i="1"/>
  <c r="M19" i="1"/>
  <c r="G98" i="1"/>
  <c r="K145" i="1"/>
  <c r="F19" i="1"/>
  <c r="AB110" i="1"/>
  <c r="AC77" i="1"/>
  <c r="J130" i="1"/>
  <c r="Y145" i="1"/>
  <c r="AF83" i="1"/>
  <c r="V132" i="1"/>
  <c r="T42" i="1"/>
  <c r="AA32" i="1"/>
  <c r="X123" i="1"/>
  <c r="J24" i="1"/>
  <c r="H103" i="1"/>
  <c r="C10" i="1"/>
  <c r="Y22" i="1"/>
  <c r="P15" i="1"/>
  <c r="AC48" i="1"/>
  <c r="L68" i="1"/>
  <c r="X133" i="1"/>
  <c r="E83" i="1"/>
  <c r="AE73" i="1"/>
  <c r="I49" i="1"/>
  <c r="O12" i="1"/>
  <c r="D118" i="1"/>
  <c r="R139" i="1"/>
  <c r="AG115" i="1"/>
  <c r="L130" i="1"/>
  <c r="Y61" i="1"/>
  <c r="G150" i="1"/>
  <c r="W144" i="1"/>
  <c r="W18" i="1"/>
  <c r="Q17" i="1"/>
  <c r="D63" i="1"/>
  <c r="V26" i="1"/>
  <c r="AC78" i="1"/>
  <c r="AI116" i="1"/>
  <c r="P158" i="1"/>
  <c r="D53" i="1"/>
  <c r="AB32" i="1"/>
  <c r="W94" i="1"/>
  <c r="R108" i="1"/>
  <c r="P21" i="1"/>
  <c r="AH65" i="1"/>
  <c r="N31" i="1"/>
  <c r="AG22" i="1"/>
  <c r="P24" i="1"/>
  <c r="S22" i="1"/>
  <c r="T96" i="1"/>
  <c r="AI136" i="1"/>
  <c r="F99" i="1"/>
  <c r="AI53" i="1"/>
  <c r="T65" i="1"/>
  <c r="K49" i="1"/>
  <c r="AH83" i="1"/>
  <c r="D79" i="1"/>
  <c r="Y120" i="1"/>
  <c r="R151" i="1"/>
  <c r="I143" i="1"/>
  <c r="J32" i="1"/>
  <c r="N72" i="1"/>
  <c r="L116" i="1"/>
  <c r="L157" i="1"/>
  <c r="P139" i="1"/>
  <c r="AH2" i="1"/>
  <c r="M25" i="1"/>
  <c r="G61" i="1"/>
  <c r="F56" i="1"/>
  <c r="R111" i="1"/>
  <c r="S96" i="1"/>
  <c r="F145" i="1"/>
  <c r="R149" i="1"/>
  <c r="P108" i="1"/>
  <c r="AD74" i="1"/>
  <c r="N87" i="1"/>
  <c r="AH143" i="1"/>
  <c r="Z3" i="1"/>
  <c r="C90" i="1"/>
  <c r="AC106" i="1"/>
  <c r="S101" i="1"/>
  <c r="R81" i="1"/>
  <c r="G115" i="1"/>
  <c r="U118" i="1"/>
  <c r="K108" i="1"/>
  <c r="U121" i="1"/>
  <c r="Y15" i="1"/>
  <c r="U150" i="1"/>
  <c r="X25" i="1"/>
  <c r="F52" i="1"/>
  <c r="O36" i="1"/>
  <c r="Z28" i="1"/>
  <c r="S56" i="1"/>
  <c r="AF61" i="1"/>
  <c r="K58" i="1"/>
  <c r="D148" i="1"/>
  <c r="G156" i="1"/>
  <c r="AF64" i="1"/>
  <c r="Q59" i="1"/>
  <c r="AE144" i="1"/>
  <c r="N69" i="1"/>
  <c r="AI42" i="1"/>
  <c r="L127" i="1"/>
  <c r="W73" i="1"/>
  <c r="AF4" i="1"/>
  <c r="S140" i="1"/>
  <c r="AC51" i="1"/>
  <c r="X18" i="1"/>
  <c r="AD143" i="1"/>
  <c r="AE114" i="1"/>
  <c r="G154" i="1"/>
  <c r="AB101" i="1"/>
  <c r="AH4" i="1"/>
  <c r="I107" i="1"/>
  <c r="AE109" i="1"/>
  <c r="F142" i="1"/>
  <c r="N142" i="1"/>
  <c r="C91" i="1"/>
  <c r="L50" i="1"/>
  <c r="AI118" i="1"/>
  <c r="AA53" i="1"/>
  <c r="K2" i="1"/>
  <c r="AH3" i="1"/>
  <c r="E134" i="1"/>
  <c r="Q43" i="1"/>
  <c r="AD104" i="1"/>
  <c r="C100" i="1"/>
  <c r="Y118" i="1"/>
  <c r="L158" i="1"/>
  <c r="AA101" i="1"/>
  <c r="F113" i="1"/>
  <c r="G124" i="1"/>
  <c r="Y133" i="1"/>
  <c r="H43" i="1"/>
  <c r="F45" i="1"/>
  <c r="J28" i="1"/>
  <c r="S25" i="1"/>
  <c r="L35" i="1"/>
  <c r="K98" i="1"/>
  <c r="K77" i="1"/>
  <c r="M143" i="1"/>
  <c r="I150" i="1"/>
  <c r="AD20" i="1"/>
  <c r="G60" i="1"/>
  <c r="AF5" i="1"/>
  <c r="AB69" i="1"/>
  <c r="O110" i="1"/>
  <c r="H158" i="1"/>
  <c r="H58" i="1"/>
  <c r="AG51" i="1"/>
  <c r="L137" i="1"/>
  <c r="W66" i="1"/>
  <c r="I13" i="1"/>
  <c r="S108" i="1"/>
  <c r="F35" i="1"/>
  <c r="AE85" i="1"/>
  <c r="U41" i="1"/>
  <c r="N85" i="1"/>
  <c r="W122" i="1"/>
  <c r="Y158" i="1"/>
  <c r="G128" i="1"/>
  <c r="AA133" i="1"/>
  <c r="AI3" i="1"/>
  <c r="D156" i="1"/>
  <c r="N151" i="1"/>
  <c r="D45" i="1"/>
  <c r="AB61" i="1"/>
  <c r="W124" i="1"/>
  <c r="L99" i="1"/>
  <c r="J148" i="1"/>
  <c r="Q138" i="1"/>
  <c r="V73" i="1"/>
  <c r="AB80" i="1"/>
  <c r="J49" i="1"/>
  <c r="V139" i="1"/>
  <c r="AI70" i="1"/>
  <c r="AE92" i="1"/>
  <c r="D34" i="1"/>
  <c r="W24" i="1"/>
  <c r="J150" i="1"/>
  <c r="H128" i="1"/>
  <c r="AA63" i="1"/>
  <c r="Z99" i="1"/>
  <c r="V83" i="1"/>
  <c r="C62" i="1"/>
  <c r="L22" i="1"/>
  <c r="I83" i="1"/>
  <c r="M89" i="1"/>
  <c r="C68" i="1"/>
  <c r="S121" i="1"/>
  <c r="P147" i="1"/>
  <c r="O112" i="1"/>
  <c r="I157" i="1"/>
  <c r="R103" i="1"/>
  <c r="F144" i="1"/>
  <c r="D77" i="1"/>
  <c r="R130" i="1"/>
  <c r="C156" i="1"/>
  <c r="P50" i="1"/>
  <c r="H88" i="1"/>
  <c r="U79" i="1"/>
  <c r="AE121" i="1"/>
  <c r="AA79" i="1"/>
  <c r="U117" i="1"/>
  <c r="J103" i="1"/>
  <c r="T75" i="1"/>
  <c r="E2" i="1"/>
  <c r="U85" i="1"/>
  <c r="S143" i="1"/>
  <c r="AC19" i="1"/>
  <c r="AC86" i="1"/>
  <c r="G146" i="1"/>
  <c r="G99" i="1"/>
  <c r="X39" i="1"/>
  <c r="M24" i="1"/>
  <c r="W96" i="1"/>
  <c r="AC45" i="1"/>
  <c r="AB29" i="1"/>
  <c r="T10" i="1"/>
  <c r="O5" i="1"/>
  <c r="N38" i="1"/>
  <c r="Q156" i="1"/>
  <c r="AE32" i="1"/>
  <c r="S4" i="1"/>
  <c r="AD147" i="1"/>
  <c r="G103" i="1"/>
  <c r="L32" i="1"/>
  <c r="X143" i="1"/>
  <c r="Y8" i="1"/>
  <c r="AI97" i="1"/>
  <c r="I156" i="1"/>
  <c r="AA17" i="1"/>
  <c r="E62" i="1"/>
  <c r="V90" i="1"/>
  <c r="X65" i="1"/>
  <c r="L61" i="1"/>
  <c r="S113" i="1"/>
  <c r="X21" i="1"/>
  <c r="S112" i="1"/>
  <c r="H156" i="1"/>
  <c r="R136" i="1"/>
  <c r="AG79" i="1"/>
  <c r="S147" i="1"/>
  <c r="N51" i="1"/>
  <c r="Q88" i="1"/>
  <c r="D14" i="1"/>
  <c r="G14" i="1"/>
  <c r="F13" i="1"/>
  <c r="J66" i="1"/>
  <c r="AF113" i="1"/>
  <c r="J41" i="1"/>
  <c r="AA56" i="1"/>
  <c r="N11" i="1"/>
  <c r="AI155" i="1"/>
  <c r="W39" i="1"/>
  <c r="AD11" i="1"/>
  <c r="AI44" i="1"/>
  <c r="C141" i="1"/>
  <c r="H78" i="1"/>
  <c r="W140" i="1"/>
  <c r="AB105" i="1"/>
  <c r="AF2" i="1"/>
  <c r="P11" i="1"/>
  <c r="L108" i="1"/>
  <c r="U114" i="1"/>
  <c r="K76" i="1"/>
  <c r="Q120" i="1"/>
  <c r="X75" i="1"/>
  <c r="R126" i="1"/>
  <c r="Q151" i="1"/>
  <c r="C46" i="1"/>
  <c r="AA73" i="1"/>
  <c r="AI94" i="1"/>
  <c r="M62" i="1"/>
  <c r="Z10" i="1"/>
  <c r="C20" i="1"/>
  <c r="F60" i="1"/>
  <c r="V2" i="1"/>
  <c r="AA33" i="1"/>
  <c r="N97" i="1"/>
  <c r="E144" i="1"/>
  <c r="L44" i="1"/>
  <c r="O63" i="1"/>
  <c r="O29" i="1"/>
  <c r="E54" i="1"/>
  <c r="F40" i="1"/>
  <c r="D27" i="1"/>
  <c r="F5" i="1"/>
  <c r="X97" i="1"/>
  <c r="S156" i="1"/>
  <c r="E90" i="1"/>
  <c r="AA116" i="1"/>
  <c r="AE26" i="1"/>
  <c r="J60" i="1"/>
  <c r="T99" i="1"/>
  <c r="AA141" i="1"/>
  <c r="X92" i="1"/>
  <c r="AG3" i="1"/>
  <c r="N139" i="1"/>
  <c r="O76" i="1"/>
  <c r="H2" i="1"/>
  <c r="AB144" i="1"/>
  <c r="R132" i="1"/>
  <c r="AA113" i="1"/>
  <c r="AF29" i="1"/>
  <c r="P131" i="1"/>
  <c r="G157" i="1"/>
  <c r="AC101" i="1"/>
  <c r="AF111" i="1"/>
  <c r="O117" i="1"/>
  <c r="E84" i="1"/>
  <c r="AH25" i="1"/>
  <c r="AF59" i="1"/>
  <c r="V37" i="1"/>
  <c r="AC71" i="1"/>
  <c r="L146" i="1"/>
  <c r="R47" i="1"/>
  <c r="U87" i="1"/>
  <c r="AE41" i="1"/>
  <c r="W54" i="1"/>
  <c r="D73" i="1"/>
  <c r="L7" i="1"/>
  <c r="N66" i="1"/>
  <c r="AA24" i="1"/>
  <c r="AE22" i="1"/>
  <c r="M70" i="1"/>
  <c r="AA139" i="1"/>
  <c r="W37" i="1"/>
  <c r="J54" i="1"/>
  <c r="AG9" i="1"/>
  <c r="AE2" i="1"/>
  <c r="AD10" i="1"/>
  <c r="N62" i="1"/>
  <c r="T114" i="1"/>
  <c r="K46" i="1"/>
  <c r="O38" i="1"/>
  <c r="Y81" i="1"/>
  <c r="D36" i="1"/>
  <c r="F78" i="1"/>
  <c r="M21" i="1"/>
  <c r="O126" i="1"/>
  <c r="Z22" i="1"/>
  <c r="C123" i="1"/>
  <c r="P69" i="1"/>
  <c r="C4" i="1"/>
  <c r="T135" i="1"/>
  <c r="M150" i="1"/>
  <c r="AA126" i="1"/>
  <c r="D97" i="1"/>
  <c r="AC136" i="1"/>
  <c r="D107" i="1"/>
  <c r="L93" i="1"/>
  <c r="N90" i="1"/>
  <c r="V44" i="1"/>
  <c r="I82" i="1"/>
  <c r="AF60" i="1"/>
  <c r="AC104" i="1"/>
  <c r="T55" i="1"/>
  <c r="AD51" i="1"/>
  <c r="AF36" i="1"/>
  <c r="H91" i="1"/>
  <c r="J107" i="1"/>
  <c r="F61" i="1"/>
  <c r="M47" i="1"/>
  <c r="M7" i="1"/>
  <c r="Y116" i="1"/>
  <c r="AG71" i="1"/>
  <c r="C6" i="1"/>
  <c r="Y117" i="1"/>
  <c r="X116" i="1"/>
  <c r="X98" i="1"/>
  <c r="AD94" i="1"/>
  <c r="V119" i="1"/>
  <c r="E96" i="1"/>
  <c r="J19" i="1"/>
  <c r="Y79" i="1"/>
  <c r="Z124" i="1"/>
  <c r="L113" i="1"/>
  <c r="AF149" i="1"/>
  <c r="AA41" i="1"/>
  <c r="O62" i="1"/>
  <c r="AF100" i="1"/>
  <c r="H13" i="1"/>
  <c r="F114" i="1"/>
  <c r="P56" i="1"/>
  <c r="Z66" i="1"/>
  <c r="U157" i="1"/>
  <c r="Y49" i="1"/>
  <c r="E43" i="1"/>
  <c r="AH45" i="1"/>
  <c r="U3" i="1"/>
  <c r="F122" i="1"/>
  <c r="AH10" i="1"/>
  <c r="K80" i="1"/>
  <c r="C155" i="1"/>
  <c r="M110" i="1"/>
  <c r="Y30" i="1"/>
  <c r="W125" i="1"/>
  <c r="G12" i="1"/>
  <c r="Q35" i="1"/>
  <c r="AB43" i="1"/>
  <c r="S120" i="1"/>
  <c r="AD58" i="1"/>
  <c r="W3" i="1"/>
  <c r="F50" i="1"/>
  <c r="E13" i="1"/>
  <c r="S98" i="1"/>
  <c r="M72" i="1"/>
  <c r="Q137" i="1"/>
  <c r="Y58" i="1"/>
  <c r="Q117" i="1"/>
  <c r="H44" i="1"/>
  <c r="AH88" i="1"/>
  <c r="AH84" i="1"/>
  <c r="V53" i="1"/>
  <c r="R97" i="1"/>
  <c r="G121" i="1"/>
  <c r="AI114" i="1"/>
  <c r="W75" i="1"/>
  <c r="V75" i="1"/>
  <c r="AH147" i="1"/>
  <c r="D15" i="1"/>
  <c r="X135" i="1"/>
  <c r="U140" i="1"/>
  <c r="Z70" i="1"/>
  <c r="AF20" i="1"/>
  <c r="AI102" i="1"/>
  <c r="O129" i="1"/>
  <c r="AE124" i="1"/>
  <c r="AE52" i="1"/>
  <c r="W126" i="1"/>
  <c r="L96" i="1"/>
  <c r="H23" i="1"/>
  <c r="M56" i="1"/>
  <c r="V98" i="1"/>
  <c r="H143" i="1"/>
  <c r="T9" i="1"/>
  <c r="D138" i="1"/>
  <c r="S57" i="1"/>
  <c r="P101" i="1"/>
  <c r="AH64" i="1"/>
  <c r="X88" i="1"/>
  <c r="AF66" i="1"/>
  <c r="G32" i="1"/>
  <c r="AE37" i="1"/>
  <c r="C24" i="1"/>
  <c r="P47" i="1"/>
  <c r="L5" i="1"/>
  <c r="S153" i="1"/>
  <c r="W93" i="1"/>
  <c r="AH130" i="1"/>
  <c r="D129" i="1"/>
  <c r="AF39" i="1"/>
  <c r="E108" i="1"/>
  <c r="D82" i="1"/>
  <c r="J12" i="1"/>
  <c r="V47" i="1"/>
  <c r="V41" i="1"/>
  <c r="Z59" i="1"/>
  <c r="AD121" i="1"/>
  <c r="U152" i="1"/>
  <c r="I99" i="1"/>
  <c r="E65" i="1"/>
  <c r="U110" i="1"/>
  <c r="F110" i="1"/>
  <c r="X136" i="1"/>
  <c r="Q82" i="1"/>
  <c r="G135" i="1"/>
  <c r="U22" i="1"/>
  <c r="AD45" i="1"/>
  <c r="AI132" i="1"/>
  <c r="W104" i="1"/>
  <c r="L122" i="1"/>
  <c r="J134" i="1"/>
  <c r="K99" i="1"/>
  <c r="Z141" i="1"/>
  <c r="R27" i="1"/>
  <c r="V156" i="1"/>
  <c r="AI15" i="1"/>
  <c r="P96" i="1"/>
  <c r="T103" i="1"/>
  <c r="W9" i="1"/>
  <c r="AC11" i="1"/>
  <c r="Q122" i="1"/>
  <c r="I18" i="1"/>
  <c r="Q134" i="1"/>
  <c r="X5" i="1"/>
  <c r="C120" i="1"/>
  <c r="D23" i="1"/>
  <c r="AH66" i="1"/>
  <c r="P8" i="1"/>
  <c r="J42" i="1"/>
  <c r="AF56" i="1"/>
  <c r="G102" i="1"/>
  <c r="K22" i="1"/>
  <c r="T155" i="1"/>
  <c r="E126" i="1"/>
  <c r="G145" i="1"/>
  <c r="AD84" i="1"/>
  <c r="F43" i="1"/>
  <c r="J88" i="1"/>
  <c r="K86" i="1"/>
  <c r="H40" i="1"/>
  <c r="AB113" i="1"/>
  <c r="J98" i="1"/>
  <c r="N73" i="1"/>
  <c r="L118" i="1"/>
  <c r="V80" i="1"/>
  <c r="AI12" i="1"/>
  <c r="AG10" i="1"/>
  <c r="V100" i="1"/>
  <c r="H121" i="1"/>
  <c r="X152" i="1"/>
  <c r="AD107" i="1"/>
  <c r="X144" i="1"/>
  <c r="AF53" i="1"/>
  <c r="AI78" i="1"/>
  <c r="P157" i="1"/>
  <c r="T51" i="1"/>
  <c r="Y154" i="1"/>
  <c r="AB133" i="1"/>
  <c r="Q64" i="1"/>
  <c r="Z103" i="1"/>
  <c r="AG142" i="1"/>
  <c r="AC131" i="1"/>
  <c r="G109" i="1"/>
  <c r="AF62" i="1"/>
  <c r="D110" i="1"/>
  <c r="V144" i="1"/>
  <c r="G35" i="1"/>
  <c r="R7" i="1"/>
  <c r="R134" i="1"/>
  <c r="AH38" i="1"/>
  <c r="Z35" i="1"/>
  <c r="U62" i="1"/>
  <c r="AH53" i="1"/>
  <c r="AF68" i="1"/>
  <c r="O20" i="1"/>
  <c r="N122" i="1"/>
  <c r="T21" i="1"/>
  <c r="R155" i="1"/>
  <c r="X74" i="1"/>
  <c r="AG123" i="1"/>
  <c r="X73" i="1"/>
  <c r="D102" i="1"/>
  <c r="W43" i="1"/>
  <c r="S5" i="1"/>
  <c r="Y136" i="1"/>
  <c r="AA134" i="1"/>
  <c r="Y46" i="1"/>
  <c r="P61" i="1"/>
  <c r="AB95" i="1"/>
  <c r="AB30" i="1"/>
  <c r="AI81" i="1"/>
  <c r="N28" i="1"/>
  <c r="AE7" i="1"/>
  <c r="AD7" i="1"/>
  <c r="R39" i="1"/>
  <c r="G100" i="1"/>
  <c r="AI130" i="1"/>
  <c r="O128" i="1"/>
  <c r="AG57" i="1"/>
  <c r="X56" i="1"/>
  <c r="G137" i="1"/>
  <c r="M108" i="1"/>
  <c r="D72" i="1"/>
  <c r="AF99" i="1"/>
  <c r="W44" i="1"/>
  <c r="G42" i="1"/>
  <c r="L135" i="1"/>
  <c r="AI21" i="1"/>
  <c r="Y29" i="1"/>
  <c r="P49" i="1"/>
  <c r="Y42" i="1"/>
  <c r="D54" i="1"/>
  <c r="O22" i="1"/>
  <c r="C82" i="1"/>
  <c r="X120" i="1"/>
  <c r="R98" i="1"/>
  <c r="X78" i="1"/>
  <c r="R157" i="1"/>
  <c r="W88" i="1"/>
  <c r="AA70" i="1"/>
  <c r="L29" i="1"/>
  <c r="AH122" i="1"/>
  <c r="W17" i="1"/>
  <c r="N120" i="1"/>
  <c r="G139" i="1"/>
  <c r="G74" i="1"/>
  <c r="Q50" i="1"/>
  <c r="G2" i="1"/>
  <c r="T140" i="1"/>
  <c r="E147" i="1"/>
  <c r="I16" i="1"/>
  <c r="S67" i="1"/>
  <c r="AH57" i="1"/>
  <c r="AC44" i="1"/>
  <c r="H30" i="1"/>
  <c r="Q52" i="1"/>
  <c r="W36" i="1"/>
  <c r="U47" i="1"/>
  <c r="AI86" i="1"/>
  <c r="AI153" i="1"/>
  <c r="AA150" i="1"/>
  <c r="R70" i="1"/>
  <c r="T44" i="1"/>
  <c r="F75" i="1"/>
  <c r="V148" i="1"/>
  <c r="N136" i="1"/>
  <c r="S71" i="1"/>
  <c r="AB104" i="1"/>
  <c r="AF93" i="1"/>
  <c r="J27" i="1"/>
  <c r="S148" i="1"/>
  <c r="AE87" i="1"/>
  <c r="AF40" i="1"/>
  <c r="C61" i="1"/>
  <c r="P105" i="1"/>
  <c r="M3" i="1"/>
  <c r="T57" i="1"/>
  <c r="X94" i="1"/>
  <c r="I141" i="1"/>
  <c r="AG93" i="1"/>
  <c r="F132" i="1"/>
  <c r="U14" i="1"/>
  <c r="F71" i="1"/>
  <c r="H37" i="1"/>
  <c r="AA104" i="1"/>
  <c r="X115" i="1"/>
  <c r="AA2" i="1"/>
  <c r="AA40" i="1"/>
  <c r="D95" i="1"/>
  <c r="T132" i="1"/>
  <c r="AI112" i="1"/>
  <c r="O151" i="1"/>
  <c r="AG34" i="1"/>
  <c r="H146" i="1"/>
  <c r="AE138" i="1"/>
  <c r="Z121" i="1"/>
  <c r="Q145" i="1"/>
  <c r="O131" i="1"/>
  <c r="W26" i="1"/>
  <c r="H68" i="1"/>
  <c r="N29" i="1"/>
  <c r="F21" i="1"/>
  <c r="Q126" i="1"/>
  <c r="W139" i="1"/>
  <c r="R15" i="1"/>
  <c r="W101" i="1"/>
  <c r="E78" i="1"/>
  <c r="F112" i="1"/>
  <c r="AE15" i="1"/>
  <c r="Q42" i="1"/>
  <c r="P66" i="1"/>
  <c r="I59" i="1"/>
  <c r="AF41" i="1"/>
  <c r="D47" i="1"/>
  <c r="AG85" i="1"/>
  <c r="T40" i="1"/>
  <c r="F135" i="1"/>
  <c r="N101" i="1"/>
  <c r="AD16" i="1"/>
  <c r="AD102" i="1"/>
  <c r="J105" i="1"/>
  <c r="AE62" i="1"/>
  <c r="I84" i="1"/>
  <c r="AB146" i="1"/>
  <c r="AD48" i="1"/>
  <c r="AH28" i="1"/>
  <c r="M115" i="1"/>
  <c r="N118" i="1"/>
  <c r="T2" i="1"/>
  <c r="F22" i="1"/>
  <c r="AF79" i="1"/>
  <c r="W22" i="1"/>
  <c r="T83" i="1"/>
  <c r="H47" i="1"/>
  <c r="K45" i="1"/>
  <c r="AG145" i="1"/>
  <c r="AA99" i="1"/>
  <c r="J146" i="1"/>
  <c r="AI101" i="1"/>
  <c r="K40" i="1"/>
  <c r="AI67" i="1"/>
  <c r="I67" i="1"/>
  <c r="AG129" i="1"/>
  <c r="H137" i="1"/>
  <c r="K79" i="1"/>
  <c r="AB121" i="1"/>
  <c r="K124" i="1"/>
  <c r="G118" i="1"/>
  <c r="J29" i="1"/>
  <c r="X109" i="1"/>
  <c r="E113" i="1"/>
  <c r="AD32" i="1"/>
  <c r="Z38" i="1"/>
  <c r="M65" i="1"/>
  <c r="F68" i="1"/>
  <c r="AI84" i="1"/>
  <c r="AD43" i="1"/>
  <c r="AF19" i="1"/>
  <c r="AC151" i="1"/>
  <c r="M31" i="1"/>
  <c r="C42" i="1"/>
  <c r="V115" i="1"/>
  <c r="Y71" i="1"/>
  <c r="C56" i="1"/>
  <c r="M112" i="1"/>
  <c r="O83" i="1"/>
  <c r="X124" i="1"/>
  <c r="S23" i="1"/>
  <c r="AH17" i="1"/>
  <c r="AC135" i="1"/>
  <c r="Z145" i="1"/>
  <c r="AD69" i="1"/>
  <c r="AG54" i="1"/>
  <c r="V157" i="1"/>
  <c r="C113" i="1"/>
  <c r="K51" i="1"/>
  <c r="U131" i="1"/>
  <c r="AC32" i="1"/>
  <c r="P54" i="1"/>
  <c r="C81" i="1"/>
  <c r="AH62" i="1"/>
  <c r="L51" i="1"/>
  <c r="AI29" i="1"/>
  <c r="AD158" i="1"/>
  <c r="AH54" i="1"/>
  <c r="U7" i="1"/>
  <c r="W110" i="1"/>
  <c r="G64" i="1"/>
  <c r="I33" i="1"/>
  <c r="K138" i="1"/>
  <c r="T68" i="1"/>
  <c r="S52" i="1"/>
  <c r="O61" i="1"/>
  <c r="P112" i="1"/>
  <c r="AG70" i="1"/>
  <c r="V28" i="1"/>
  <c r="N58" i="1"/>
  <c r="AA135" i="1"/>
  <c r="AE157" i="1"/>
  <c r="Q92" i="1"/>
  <c r="M122" i="1"/>
  <c r="AG91" i="1"/>
  <c r="AG151" i="1"/>
  <c r="N42" i="1"/>
  <c r="AD50" i="1"/>
  <c r="M121" i="1"/>
  <c r="AH21" i="1"/>
  <c r="X141" i="1"/>
  <c r="D153" i="1"/>
  <c r="O103" i="1"/>
  <c r="AH60" i="1"/>
  <c r="I88" i="1"/>
  <c r="G59" i="1"/>
  <c r="N78" i="1"/>
  <c r="AE3" i="1"/>
  <c r="E133" i="1"/>
  <c r="V6" i="1"/>
  <c r="F83" i="1"/>
  <c r="H76" i="1"/>
  <c r="F72" i="1"/>
  <c r="V72" i="1"/>
  <c r="X148" i="1"/>
  <c r="Q84" i="1"/>
  <c r="E114" i="1"/>
  <c r="Q73" i="1"/>
  <c r="E9" i="1"/>
  <c r="W11" i="1"/>
  <c r="R88" i="1"/>
  <c r="R83" i="1"/>
  <c r="V155" i="1"/>
  <c r="AI109" i="1"/>
  <c r="W14" i="1"/>
  <c r="I11" i="1"/>
  <c r="V114" i="1"/>
  <c r="AA90" i="1"/>
  <c r="AG36" i="1"/>
  <c r="V113" i="1"/>
  <c r="AD54" i="1"/>
  <c r="S117" i="1"/>
  <c r="K28" i="1"/>
  <c r="V52" i="1"/>
  <c r="Q103" i="1"/>
  <c r="AB97" i="1"/>
  <c r="Q132" i="1"/>
  <c r="X153" i="1"/>
  <c r="T37" i="1"/>
  <c r="D39" i="1"/>
  <c r="Q93" i="1"/>
  <c r="R76" i="1"/>
  <c r="R100" i="1"/>
  <c r="AI129" i="1"/>
  <c r="AE158" i="1"/>
  <c r="D40" i="1"/>
  <c r="S150" i="1"/>
  <c r="Q154" i="1"/>
  <c r="T28" i="1"/>
  <c r="Y122" i="1"/>
  <c r="T50" i="1"/>
  <c r="F126" i="1"/>
  <c r="AH110" i="1"/>
  <c r="X4" i="1"/>
  <c r="D133" i="1"/>
  <c r="T8" i="1"/>
  <c r="AD96" i="1"/>
  <c r="L69" i="1"/>
  <c r="X72" i="1"/>
  <c r="D42" i="1"/>
  <c r="Y103" i="1"/>
  <c r="T59" i="1"/>
  <c r="U55" i="1"/>
  <c r="H59" i="1"/>
  <c r="AE61" i="1"/>
  <c r="AE140" i="1"/>
  <c r="X49" i="1"/>
  <c r="V111" i="1"/>
  <c r="O153" i="1"/>
  <c r="S146" i="1"/>
  <c r="I110" i="1"/>
  <c r="S138" i="1"/>
  <c r="G26" i="1"/>
  <c r="D32" i="1"/>
  <c r="AE147" i="1"/>
  <c r="AE64" i="1"/>
  <c r="M58" i="1"/>
  <c r="AE99" i="1"/>
  <c r="Z156" i="1"/>
  <c r="AA122" i="1"/>
  <c r="C150" i="1"/>
  <c r="I78" i="1"/>
  <c r="M55" i="1"/>
  <c r="AA100" i="1"/>
  <c r="J91" i="1"/>
  <c r="AB25" i="1"/>
  <c r="U125" i="1"/>
  <c r="M93" i="1"/>
  <c r="AC79" i="1"/>
  <c r="H70" i="1"/>
  <c r="AD4" i="1"/>
  <c r="F16" i="1"/>
  <c r="Y112" i="1"/>
  <c r="C144" i="1"/>
  <c r="AF120" i="1"/>
  <c r="AC102" i="1"/>
  <c r="C154" i="1"/>
  <c r="AI50" i="1"/>
  <c r="I125" i="1"/>
  <c r="AB78" i="1"/>
  <c r="M144" i="1"/>
  <c r="P43" i="1"/>
  <c r="U158" i="1"/>
  <c r="F104" i="1"/>
  <c r="D57" i="1"/>
  <c r="Q45" i="1"/>
  <c r="AA106" i="1"/>
  <c r="AB142" i="1"/>
  <c r="N140" i="1"/>
  <c r="X28" i="1"/>
  <c r="P25" i="1"/>
  <c r="AH146" i="1"/>
  <c r="F14" i="1"/>
  <c r="X23" i="1"/>
  <c r="U35" i="1"/>
  <c r="K48" i="1"/>
  <c r="O155" i="1"/>
  <c r="N121" i="1"/>
  <c r="U48" i="1"/>
  <c r="Y87" i="1"/>
  <c r="D151" i="1"/>
  <c r="J18" i="1"/>
  <c r="K107" i="1"/>
  <c r="AG19" i="1"/>
  <c r="AB53" i="1"/>
  <c r="H84" i="1"/>
  <c r="C64" i="1"/>
  <c r="AB40" i="1"/>
  <c r="AC58" i="1"/>
  <c r="R23" i="1"/>
  <c r="AB127" i="1"/>
  <c r="Q10" i="1"/>
  <c r="AE65" i="1"/>
  <c r="U45" i="1"/>
  <c r="AF69" i="1"/>
  <c r="P23" i="1"/>
  <c r="Y19" i="1"/>
  <c r="K152" i="1"/>
  <c r="V15" i="1"/>
  <c r="AC96" i="1"/>
  <c r="K6" i="1"/>
  <c r="Q65" i="1"/>
  <c r="X129" i="1"/>
  <c r="N47" i="1"/>
  <c r="AI104" i="1"/>
  <c r="AF58" i="1"/>
  <c r="M119" i="1"/>
  <c r="AB137" i="1"/>
  <c r="K109" i="1"/>
  <c r="H118" i="1"/>
  <c r="AD109" i="1"/>
  <c r="G13" i="1"/>
  <c r="R87" i="1"/>
  <c r="D147" i="1"/>
  <c r="F96" i="1"/>
  <c r="C101" i="1"/>
  <c r="D126" i="1"/>
  <c r="AE54" i="1"/>
  <c r="G81" i="1"/>
  <c r="AE93" i="1"/>
  <c r="AE116" i="1"/>
  <c r="N105" i="1"/>
  <c r="L40" i="1"/>
  <c r="AI89" i="1"/>
  <c r="C126" i="1"/>
  <c r="AI93" i="1"/>
  <c r="G114" i="1"/>
  <c r="K140" i="1"/>
  <c r="AF127" i="1"/>
  <c r="AH19" i="1"/>
  <c r="M96" i="1"/>
  <c r="M85" i="1"/>
  <c r="C135" i="1"/>
  <c r="Q22" i="1"/>
  <c r="AA49" i="1"/>
  <c r="AD71" i="1"/>
  <c r="O9" i="1"/>
  <c r="K62" i="1"/>
  <c r="E76" i="1"/>
  <c r="Q68" i="1"/>
  <c r="N20" i="1"/>
  <c r="I92" i="1"/>
  <c r="N95" i="1"/>
  <c r="Z6" i="1"/>
  <c r="I90" i="1"/>
  <c r="AD139" i="1"/>
  <c r="R105" i="1"/>
  <c r="V85" i="1"/>
  <c r="AA151" i="1"/>
  <c r="W40" i="1"/>
  <c r="AE12" i="1"/>
  <c r="O73" i="1"/>
  <c r="AD31" i="1"/>
  <c r="AA128" i="1"/>
  <c r="S80" i="1"/>
  <c r="AH120" i="1"/>
  <c r="F100" i="1"/>
  <c r="T30" i="1"/>
  <c r="S69" i="1"/>
  <c r="Q130" i="1"/>
  <c r="J141" i="1"/>
  <c r="Z34" i="1"/>
  <c r="G101" i="1"/>
  <c r="AI96" i="1"/>
  <c r="C27" i="1"/>
  <c r="AI46" i="1"/>
  <c r="F31" i="1"/>
  <c r="C109" i="1"/>
  <c r="AF104" i="1"/>
  <c r="T95" i="1"/>
  <c r="L121" i="1"/>
  <c r="X122" i="1"/>
  <c r="X2" i="1"/>
  <c r="L102" i="1"/>
  <c r="W97" i="1"/>
  <c r="X37" i="1"/>
  <c r="AF85" i="1"/>
  <c r="AI28" i="1"/>
  <c r="AA29" i="1"/>
  <c r="N130" i="1"/>
  <c r="Q139" i="1"/>
  <c r="AB31" i="1"/>
  <c r="Q2" i="1"/>
  <c r="U101" i="1"/>
  <c r="U75" i="1"/>
  <c r="N152" i="1"/>
  <c r="AC139" i="1"/>
  <c r="W21" i="1"/>
  <c r="D99" i="1"/>
  <c r="M60" i="1"/>
  <c r="H132" i="1"/>
  <c r="AB68" i="1"/>
  <c r="AE154" i="1"/>
  <c r="L30" i="1"/>
  <c r="U146" i="1"/>
  <c r="AI18" i="1"/>
  <c r="AI58" i="1"/>
  <c r="R11" i="1"/>
  <c r="S136" i="1"/>
  <c r="U128" i="1"/>
  <c r="AA76" i="1"/>
  <c r="G57" i="1"/>
  <c r="AB5" i="1"/>
  <c r="AG28" i="1"/>
  <c r="P31" i="1"/>
  <c r="AD24" i="1"/>
  <c r="L43" i="1"/>
  <c r="M111" i="1"/>
  <c r="E120" i="1"/>
  <c r="G148" i="1"/>
  <c r="F151" i="1"/>
  <c r="AF101" i="1"/>
  <c r="X45" i="1"/>
  <c r="F66" i="1"/>
  <c r="AH109" i="1"/>
  <c r="T45" i="1"/>
  <c r="R94" i="1"/>
  <c r="I72" i="1"/>
  <c r="U112" i="1"/>
  <c r="P113" i="1"/>
  <c r="AD114" i="1"/>
  <c r="Z76" i="1"/>
  <c r="AI115" i="1"/>
  <c r="AI71" i="1"/>
  <c r="D142" i="1"/>
  <c r="Q19" i="1"/>
  <c r="U139" i="1"/>
  <c r="O24" i="1"/>
  <c r="V35" i="1"/>
  <c r="AE135" i="1"/>
  <c r="H39" i="1"/>
  <c r="AD112" i="1"/>
  <c r="V86" i="1"/>
  <c r="M134" i="1"/>
  <c r="S10" i="1"/>
  <c r="D66" i="1"/>
  <c r="P2" i="1"/>
  <c r="D24" i="1"/>
  <c r="AC26" i="1"/>
  <c r="K93" i="1"/>
  <c r="L115" i="1"/>
  <c r="H12" i="1"/>
  <c r="AI56" i="1"/>
  <c r="AI57" i="1"/>
  <c r="Q97" i="1"/>
  <c r="O26" i="1"/>
  <c r="P88" i="1"/>
  <c r="AA31" i="1"/>
  <c r="AH94" i="1"/>
  <c r="Y138" i="1"/>
  <c r="J90" i="1"/>
  <c r="AE20" i="1"/>
  <c r="X154" i="1"/>
  <c r="Z150" i="1"/>
  <c r="P78" i="1"/>
  <c r="H147" i="1"/>
  <c r="AG47" i="1"/>
  <c r="Q101" i="1"/>
  <c r="AI75" i="1"/>
  <c r="AF18" i="1"/>
  <c r="AC10" i="1"/>
  <c r="M67" i="1"/>
  <c r="D28" i="1"/>
  <c r="Q112" i="1"/>
  <c r="AA48" i="1"/>
  <c r="C53" i="1"/>
  <c r="O15" i="1"/>
  <c r="M4" i="1"/>
  <c r="AB72" i="1"/>
  <c r="AB60" i="1"/>
  <c r="AE27" i="1"/>
  <c r="T67" i="1"/>
  <c r="Y97" i="1"/>
  <c r="L101" i="1"/>
  <c r="D158" i="1"/>
  <c r="H3" i="1"/>
  <c r="AC94" i="1"/>
  <c r="T71" i="1"/>
  <c r="F143" i="1"/>
  <c r="U108" i="1"/>
  <c r="P55" i="1"/>
  <c r="AB77" i="1"/>
  <c r="D105" i="1"/>
  <c r="E121" i="1"/>
  <c r="P141" i="1"/>
  <c r="AH121" i="1"/>
  <c r="Q78" i="1"/>
  <c r="P46" i="1"/>
  <c r="O30" i="1"/>
  <c r="I133" i="1"/>
  <c r="AC5" i="1"/>
  <c r="F87" i="1"/>
  <c r="J131" i="1"/>
  <c r="AB117" i="1"/>
  <c r="S106" i="1"/>
  <c r="R6" i="1"/>
  <c r="AG127" i="1"/>
  <c r="AG121" i="1"/>
  <c r="H18" i="1"/>
  <c r="U102" i="1"/>
  <c r="AF134" i="1"/>
  <c r="L48" i="1"/>
  <c r="Y124" i="1"/>
  <c r="X16" i="1"/>
  <c r="O95" i="1"/>
  <c r="AH139" i="1"/>
  <c r="R14" i="1"/>
  <c r="S61" i="1"/>
  <c r="K125" i="1"/>
  <c r="AA136" i="1"/>
  <c r="K66" i="1"/>
  <c r="R65" i="1"/>
  <c r="H52" i="1"/>
  <c r="L17" i="1"/>
  <c r="AC140" i="1"/>
  <c r="AF86" i="1"/>
  <c r="D68" i="1"/>
  <c r="X89" i="1"/>
  <c r="H107" i="1"/>
  <c r="F86" i="1"/>
  <c r="AE57" i="1"/>
  <c r="AH50" i="1"/>
  <c r="O2" i="1"/>
  <c r="R20" i="1"/>
  <c r="Q28" i="1"/>
  <c r="Y14" i="1"/>
  <c r="Q47" i="1"/>
  <c r="Q124" i="1"/>
  <c r="D127" i="1"/>
  <c r="U50" i="1"/>
  <c r="F17" i="1"/>
  <c r="E86" i="1"/>
  <c r="N131" i="1"/>
  <c r="R146" i="1"/>
  <c r="U16" i="1"/>
  <c r="AF114" i="1"/>
  <c r="E92" i="1"/>
  <c r="Z27" i="1"/>
  <c r="Z39" i="1"/>
  <c r="AB112" i="1"/>
  <c r="AE44" i="1"/>
  <c r="U21" i="1"/>
  <c r="D50" i="1"/>
  <c r="V57" i="1"/>
  <c r="AH70" i="1"/>
  <c r="W32" i="1"/>
  <c r="Q147" i="1"/>
  <c r="U92" i="1"/>
  <c r="AH114" i="1"/>
  <c r="I106" i="1"/>
  <c r="AE104" i="1"/>
  <c r="AF33" i="1"/>
  <c r="Y123" i="1"/>
  <c r="AC74" i="1"/>
  <c r="AB45" i="1"/>
  <c r="Q37" i="1"/>
  <c r="AG141" i="1"/>
  <c r="AG155" i="1"/>
  <c r="R69" i="1"/>
  <c r="K26" i="1"/>
  <c r="U63" i="1"/>
  <c r="N12" i="1"/>
  <c r="Y140" i="1"/>
  <c r="AC30" i="1"/>
  <c r="Q148" i="1"/>
  <c r="P51" i="1"/>
  <c r="Q77" i="1"/>
  <c r="AA57" i="1"/>
  <c r="O107" i="1"/>
  <c r="G136" i="1"/>
  <c r="AA120" i="1"/>
  <c r="J53" i="1"/>
  <c r="H152" i="1"/>
  <c r="W150" i="1"/>
  <c r="P5" i="1"/>
  <c r="J99" i="1"/>
  <c r="G143" i="1"/>
  <c r="AA83" i="1"/>
  <c r="I121" i="1"/>
  <c r="R84" i="1"/>
  <c r="D143" i="1"/>
  <c r="AG49" i="1"/>
  <c r="J37" i="1"/>
  <c r="AE153" i="1"/>
  <c r="AB122" i="1"/>
  <c r="H9" i="1"/>
  <c r="Y114" i="1"/>
  <c r="X81" i="1"/>
  <c r="AB98" i="1"/>
  <c r="L111" i="1"/>
  <c r="G30" i="1"/>
  <c r="AI157" i="1"/>
  <c r="AI4" i="1"/>
  <c r="C19" i="1"/>
  <c r="AH68" i="1"/>
  <c r="C45" i="1"/>
  <c r="G54" i="1"/>
  <c r="H87" i="1"/>
  <c r="AF97" i="1"/>
  <c r="U122" i="1"/>
  <c r="U4" i="1"/>
  <c r="F152" i="1"/>
  <c r="R2" i="1"/>
  <c r="J58" i="1"/>
  <c r="Q155" i="1"/>
  <c r="S133" i="1"/>
  <c r="AD132" i="1"/>
  <c r="AI142" i="1"/>
  <c r="AB13" i="1"/>
  <c r="AI47" i="1"/>
  <c r="H120" i="1"/>
  <c r="E40" i="1"/>
  <c r="AB123" i="1"/>
  <c r="Q89" i="1"/>
  <c r="V87" i="1"/>
  <c r="AD2" i="1"/>
  <c r="AE80" i="1"/>
  <c r="AA27" i="1"/>
  <c r="E98" i="1"/>
  <c r="E59" i="1"/>
  <c r="X151" i="1"/>
  <c r="Q141" i="1"/>
  <c r="J59" i="1"/>
  <c r="E56" i="1"/>
  <c r="AD21" i="1"/>
  <c r="AC111" i="1"/>
  <c r="X14" i="1"/>
  <c r="N135" i="1"/>
  <c r="Z75" i="1"/>
  <c r="AI66" i="1"/>
  <c r="Q49" i="1"/>
  <c r="AI45" i="1"/>
  <c r="O32" i="1"/>
  <c r="Y125" i="1"/>
  <c r="AD157" i="1"/>
  <c r="AA102" i="1"/>
  <c r="Y75" i="1"/>
  <c r="AE102" i="1"/>
  <c r="AG32" i="1"/>
  <c r="W115" i="1"/>
  <c r="L87" i="1"/>
  <c r="U143" i="1"/>
  <c r="Y16" i="1"/>
  <c r="G28" i="1"/>
  <c r="AF130" i="1"/>
  <c r="J10" i="1"/>
  <c r="AA158" i="1"/>
  <c r="Y68" i="1"/>
  <c r="T6" i="1"/>
  <c r="F76" i="1"/>
  <c r="L38" i="1"/>
  <c r="L6" i="1"/>
  <c r="AF124" i="1"/>
  <c r="M63" i="1"/>
  <c r="H4" i="1"/>
  <c r="AA127" i="1"/>
  <c r="K64" i="1"/>
  <c r="R110" i="1"/>
  <c r="R116" i="1"/>
  <c r="P28" i="1"/>
  <c r="V51" i="1"/>
  <c r="AH34" i="1"/>
  <c r="V137" i="1"/>
  <c r="M99" i="1"/>
  <c r="AD18" i="1"/>
  <c r="U53" i="1"/>
  <c r="F15" i="1"/>
  <c r="AI107" i="1"/>
  <c r="AE48" i="1"/>
  <c r="X131" i="1"/>
  <c r="G93" i="1"/>
  <c r="V25" i="1"/>
  <c r="L131" i="1"/>
  <c r="G86" i="1"/>
  <c r="C38" i="1"/>
  <c r="AC75" i="1"/>
  <c r="G125" i="1"/>
  <c r="V3" i="1"/>
  <c r="S110" i="1"/>
  <c r="U94" i="1"/>
  <c r="AH67" i="1"/>
  <c r="Y67" i="1"/>
  <c r="AI26" i="1"/>
  <c r="W123" i="1"/>
  <c r="AG157" i="1"/>
  <c r="M158" i="1"/>
  <c r="AB71" i="1"/>
  <c r="AD3" i="1"/>
  <c r="G138" i="1"/>
  <c r="AD86" i="1"/>
  <c r="E110" i="1"/>
  <c r="O133" i="1"/>
  <c r="L124" i="1"/>
  <c r="AB21" i="1"/>
  <c r="I2" i="1"/>
  <c r="V24" i="1"/>
  <c r="T23" i="1"/>
  <c r="AI6" i="1"/>
  <c r="Y108" i="1"/>
  <c r="Y131" i="1"/>
  <c r="F27" i="1"/>
  <c r="Q53" i="1"/>
  <c r="U57" i="1"/>
  <c r="N79" i="1"/>
  <c r="U83" i="1"/>
  <c r="AH89" i="1"/>
  <c r="F9" i="1"/>
  <c r="K97" i="1"/>
  <c r="O87" i="1"/>
  <c r="AG50" i="1"/>
  <c r="W130" i="1"/>
  <c r="Y89" i="1"/>
  <c r="X126" i="1"/>
  <c r="D96" i="1"/>
  <c r="AD42" i="1"/>
  <c r="Z112" i="1"/>
  <c r="F106" i="1"/>
  <c r="J26" i="1"/>
  <c r="AI148" i="1"/>
  <c r="Y147" i="1"/>
  <c r="X85" i="1"/>
  <c r="D154" i="1"/>
  <c r="AG6" i="1"/>
  <c r="C11" i="1"/>
  <c r="Y33" i="1"/>
  <c r="I95" i="1"/>
  <c r="AE136" i="1"/>
  <c r="G83" i="1"/>
  <c r="Q56" i="1"/>
  <c r="Y18" i="1"/>
  <c r="Q105" i="1"/>
  <c r="Z86" i="1"/>
  <c r="U103" i="1"/>
  <c r="Y82" i="1"/>
  <c r="R8" i="1"/>
  <c r="F116" i="1"/>
  <c r="J138" i="1"/>
  <c r="T92" i="1"/>
  <c r="AH26" i="1"/>
  <c r="R113" i="1"/>
  <c r="K90" i="1"/>
  <c r="V71" i="1"/>
  <c r="J93" i="1"/>
  <c r="V81" i="1"/>
  <c r="F69" i="1"/>
  <c r="M44" i="1"/>
  <c r="C66" i="1"/>
  <c r="M94" i="1"/>
  <c r="AB8" i="1"/>
  <c r="K133" i="1"/>
  <c r="AB51" i="1"/>
  <c r="Y98" i="1"/>
  <c r="R56" i="1"/>
  <c r="AH108" i="1"/>
  <c r="Z12" i="1"/>
  <c r="E24" i="1"/>
  <c r="AC88" i="1"/>
  <c r="AG60" i="1"/>
  <c r="AD60" i="1"/>
  <c r="I12" i="1"/>
  <c r="T49" i="1"/>
  <c r="E57" i="1"/>
  <c r="T116" i="1"/>
  <c r="E106" i="1"/>
  <c r="AA85" i="1"/>
  <c r="AC81" i="1"/>
  <c r="J109" i="1"/>
  <c r="Z15" i="1"/>
  <c r="E140" i="1"/>
  <c r="Y129" i="1"/>
  <c r="E73" i="1"/>
  <c r="E156" i="1"/>
  <c r="N158" i="1"/>
  <c r="X50" i="1"/>
  <c r="F26" i="1"/>
  <c r="V158" i="1"/>
  <c r="Z88" i="1"/>
  <c r="Q80" i="1"/>
  <c r="Y21" i="1"/>
  <c r="M64" i="1"/>
  <c r="R49" i="1"/>
  <c r="I115" i="1"/>
  <c r="W71" i="1"/>
  <c r="D120" i="1"/>
  <c r="X125" i="1"/>
  <c r="AF88" i="1"/>
  <c r="X17" i="1"/>
  <c r="C87" i="1"/>
  <c r="T32" i="1"/>
  <c r="U129" i="1"/>
  <c r="AF52" i="1"/>
  <c r="J119" i="1"/>
  <c r="L66" i="1"/>
  <c r="D103" i="1"/>
  <c r="AB87" i="1"/>
  <c r="X43" i="1"/>
  <c r="W86" i="1"/>
  <c r="AH107" i="1"/>
  <c r="I103" i="1"/>
  <c r="Z53" i="1"/>
  <c r="D94" i="1"/>
  <c r="AD61" i="1"/>
  <c r="R12" i="1"/>
  <c r="I101" i="1"/>
  <c r="AE81" i="1"/>
  <c r="Y3" i="1"/>
  <c r="M126" i="1"/>
  <c r="W145" i="1"/>
  <c r="O138" i="1"/>
  <c r="AI59" i="1"/>
  <c r="Z68" i="1"/>
  <c r="N133" i="1"/>
  <c r="P39" i="1"/>
  <c r="C119" i="1"/>
  <c r="AB135" i="1"/>
  <c r="D136" i="1"/>
  <c r="R44" i="1"/>
  <c r="AD23" i="1"/>
  <c r="AB22" i="1"/>
  <c r="AD29" i="1"/>
  <c r="AB115" i="1"/>
  <c r="R92" i="1"/>
  <c r="Y93" i="1"/>
  <c r="R141" i="1"/>
  <c r="Z26" i="1"/>
  <c r="AF7" i="1"/>
  <c r="Q72" i="1"/>
  <c r="X48" i="1"/>
  <c r="P99" i="1"/>
  <c r="V30" i="1"/>
  <c r="P95" i="1"/>
  <c r="R77" i="1"/>
  <c r="W106" i="1"/>
  <c r="AG120" i="1"/>
  <c r="AC126" i="1"/>
  <c r="AE97" i="1"/>
  <c r="L45" i="1"/>
  <c r="AB74" i="1"/>
  <c r="O19" i="1"/>
  <c r="AF131" i="1"/>
  <c r="V12" i="1"/>
  <c r="C12" i="1"/>
  <c r="D119" i="1"/>
  <c r="F141" i="1"/>
  <c r="V104" i="1"/>
  <c r="T100" i="1"/>
  <c r="N117" i="1"/>
  <c r="Q127" i="1"/>
  <c r="S93" i="1"/>
  <c r="T3" i="1"/>
  <c r="S103" i="1"/>
  <c r="AG33" i="1"/>
  <c r="E125" i="1"/>
  <c r="AA42" i="1"/>
  <c r="J3" i="1"/>
  <c r="S60" i="1"/>
  <c r="Y65" i="1"/>
  <c r="E112" i="1"/>
  <c r="P130" i="1"/>
  <c r="J17" i="1"/>
  <c r="J106" i="1"/>
  <c r="AH69" i="1"/>
  <c r="H64" i="1"/>
  <c r="S109" i="1"/>
  <c r="AD63" i="1"/>
  <c r="AB52" i="1"/>
  <c r="D43" i="1"/>
  <c r="D69" i="1"/>
  <c r="M28" i="1"/>
  <c r="Q95" i="1"/>
  <c r="C136" i="1"/>
  <c r="U141" i="1"/>
  <c r="AB76" i="1"/>
  <c r="AG78" i="1"/>
  <c r="L76" i="1"/>
  <c r="AB81" i="1"/>
  <c r="AD55" i="1"/>
  <c r="X20" i="1"/>
  <c r="F98" i="1"/>
  <c r="X132" i="1"/>
  <c r="W34" i="1"/>
  <c r="AC36" i="1"/>
  <c r="AA54" i="1"/>
  <c r="AF144" i="1"/>
  <c r="Y74" i="1"/>
  <c r="AI106" i="1"/>
  <c r="AH77" i="1"/>
  <c r="O156" i="1"/>
  <c r="AD9" i="1"/>
  <c r="S54" i="1"/>
  <c r="U148" i="1"/>
  <c r="AH18" i="1"/>
  <c r="AH96" i="1"/>
  <c r="N99" i="1"/>
  <c r="K12" i="1"/>
  <c r="T128" i="1"/>
  <c r="V82" i="1"/>
  <c r="AH91" i="1"/>
  <c r="K18" i="1"/>
  <c r="R25" i="1"/>
  <c r="V22" i="1"/>
  <c r="AB83" i="1"/>
  <c r="AC149" i="1"/>
  <c r="O115" i="1"/>
  <c r="M113" i="1"/>
  <c r="AG45" i="1"/>
  <c r="O14" i="1"/>
  <c r="O55" i="1"/>
  <c r="N134" i="1"/>
  <c r="M32" i="1"/>
  <c r="S63" i="1"/>
  <c r="J75" i="1"/>
  <c r="K53" i="1"/>
  <c r="M125" i="1"/>
  <c r="Z129" i="1"/>
  <c r="T91" i="1"/>
  <c r="H19" i="1"/>
  <c r="C5" i="1"/>
  <c r="S99" i="1"/>
  <c r="L23" i="1"/>
  <c r="AF123" i="1"/>
  <c r="S70" i="1"/>
  <c r="F124" i="1"/>
  <c r="U76" i="1"/>
  <c r="W102" i="1"/>
  <c r="AD59" i="1"/>
  <c r="E82" i="1"/>
  <c r="AI49" i="1"/>
  <c r="W61" i="1"/>
  <c r="I118" i="1"/>
  <c r="AI87" i="1"/>
  <c r="C125" i="1"/>
  <c r="AI125" i="1"/>
  <c r="M116" i="1"/>
  <c r="AE89" i="1"/>
  <c r="Q5" i="1"/>
  <c r="AF25" i="1"/>
  <c r="Z140" i="1"/>
  <c r="C102" i="1"/>
  <c r="X96" i="1"/>
  <c r="M26" i="1"/>
  <c r="R122" i="1"/>
  <c r="AG15" i="1"/>
  <c r="AA112" i="1"/>
  <c r="M61" i="1"/>
  <c r="U151" i="1"/>
  <c r="X59" i="1"/>
  <c r="AD122" i="1"/>
  <c r="Z69" i="1"/>
  <c r="AI7" i="1"/>
  <c r="AE115" i="1"/>
  <c r="V126" i="1"/>
  <c r="D75" i="1"/>
  <c r="P123" i="1"/>
  <c r="I19" i="1"/>
  <c r="AI146" i="1"/>
  <c r="G38" i="1"/>
  <c r="AE94" i="1"/>
  <c r="S32" i="1"/>
  <c r="N57" i="1"/>
  <c r="AD149" i="1"/>
  <c r="Q131" i="1"/>
  <c r="N96" i="1"/>
  <c r="N124" i="1"/>
  <c r="N18" i="1"/>
  <c r="Y134" i="1"/>
  <c r="AG75" i="1"/>
  <c r="R143" i="1"/>
  <c r="AB155" i="1"/>
  <c r="AA34" i="1"/>
  <c r="O127" i="1"/>
  <c r="W23" i="1"/>
  <c r="J111" i="1"/>
  <c r="AA26" i="1"/>
  <c r="T139" i="1"/>
  <c r="V5" i="1"/>
  <c r="T39" i="1"/>
  <c r="X150" i="1"/>
  <c r="G44" i="1"/>
  <c r="I87" i="1"/>
  <c r="K63" i="1"/>
  <c r="G152" i="1"/>
  <c r="Z78" i="1"/>
  <c r="D17" i="1"/>
  <c r="AB120" i="1"/>
  <c r="Y115" i="1"/>
  <c r="Y104" i="1"/>
  <c r="D109" i="1"/>
  <c r="R86" i="1"/>
  <c r="G141" i="1"/>
  <c r="Y7" i="1"/>
  <c r="K32" i="1"/>
  <c r="Y40" i="1"/>
  <c r="C140" i="1"/>
  <c r="P106" i="1"/>
  <c r="N104" i="1"/>
  <c r="I102" i="1"/>
  <c r="M5" i="1"/>
  <c r="K75" i="1"/>
  <c r="S39" i="1"/>
  <c r="N56" i="1"/>
  <c r="W83" i="1"/>
  <c r="U107" i="1"/>
  <c r="Y25" i="1"/>
  <c r="Z20" i="1"/>
  <c r="G63" i="1"/>
  <c r="Q83" i="1"/>
  <c r="G91" i="1"/>
  <c r="R41" i="1"/>
  <c r="Q41" i="1"/>
  <c r="K73" i="1"/>
  <c r="I20" i="1"/>
  <c r="J125" i="1"/>
  <c r="AF128" i="1"/>
  <c r="M73" i="1"/>
  <c r="AF102" i="1"/>
  <c r="M95" i="1"/>
  <c r="Q18" i="1"/>
  <c r="T108" i="1"/>
  <c r="C8" i="1"/>
  <c r="D61" i="1"/>
  <c r="R58" i="1"/>
  <c r="M109" i="1"/>
  <c r="AI43" i="1"/>
  <c r="Z73" i="1"/>
  <c r="I94" i="1"/>
  <c r="C79" i="1"/>
  <c r="AH129" i="1"/>
  <c r="J101" i="1"/>
  <c r="U72" i="1"/>
  <c r="AE106" i="1"/>
  <c r="AC117" i="1"/>
  <c r="Z21" i="1"/>
  <c r="AF103" i="1"/>
  <c r="K52" i="1"/>
  <c r="J21" i="1"/>
  <c r="Q98" i="1"/>
  <c r="V140" i="1"/>
  <c r="W82" i="1"/>
  <c r="L138" i="1"/>
  <c r="G55" i="1"/>
  <c r="AE123" i="1"/>
  <c r="M106" i="1"/>
  <c r="AH78" i="1"/>
  <c r="R37" i="1"/>
  <c r="AD115" i="1"/>
  <c r="AI134" i="1"/>
  <c r="F7" i="1"/>
  <c r="T125" i="1"/>
  <c r="L97" i="1"/>
  <c r="D104" i="1"/>
  <c r="Q144" i="1"/>
  <c r="O121" i="1"/>
  <c r="AB67" i="1"/>
  <c r="I5" i="1"/>
  <c r="AG40" i="1"/>
  <c r="R115" i="1"/>
  <c r="X155" i="1"/>
  <c r="Q158" i="1"/>
  <c r="W53" i="1"/>
  <c r="U111" i="1"/>
  <c r="AF9" i="1"/>
  <c r="T133" i="1"/>
  <c r="O6" i="1"/>
  <c r="AC6" i="1"/>
  <c r="AB150" i="1"/>
  <c r="V56" i="1"/>
  <c r="J135" i="1"/>
  <c r="AE14" i="1"/>
  <c r="V92" i="1"/>
  <c r="AE74" i="1"/>
  <c r="H135" i="1"/>
  <c r="D37" i="1"/>
  <c r="I79" i="1"/>
  <c r="D70" i="1"/>
  <c r="G73" i="1"/>
  <c r="F128" i="1"/>
  <c r="T141" i="1"/>
  <c r="I6" i="1"/>
  <c r="V8" i="1"/>
  <c r="N157" i="1"/>
  <c r="G119" i="1"/>
  <c r="AE98" i="1"/>
  <c r="L133" i="1"/>
  <c r="I35" i="1"/>
  <c r="R31" i="1"/>
  <c r="L107" i="1"/>
  <c r="AC150" i="1"/>
  <c r="Z116" i="1"/>
  <c r="Y80" i="1"/>
  <c r="E25" i="1"/>
  <c r="P140" i="1"/>
  <c r="T31" i="1"/>
  <c r="AA123" i="1"/>
  <c r="T123" i="1"/>
  <c r="AF141" i="1"/>
  <c r="AF112" i="1"/>
  <c r="AF77" i="1"/>
  <c r="J116" i="1"/>
  <c r="AG105" i="1"/>
  <c r="C2" i="1"/>
  <c r="L4" i="1"/>
  <c r="X83" i="1"/>
  <c r="P138" i="1"/>
  <c r="AH72" i="1"/>
  <c r="AC61" i="1"/>
  <c r="Z115" i="1"/>
  <c r="E67" i="1"/>
  <c r="T35" i="1"/>
  <c r="AD87" i="1"/>
  <c r="Z131" i="1"/>
  <c r="AF42" i="1"/>
  <c r="C28" i="1"/>
  <c r="G126" i="1"/>
  <c r="L156" i="1"/>
  <c r="W29" i="1"/>
  <c r="L49" i="1"/>
  <c r="M39" i="1"/>
  <c r="H24" i="1"/>
  <c r="AB28" i="1"/>
  <c r="I128" i="1"/>
  <c r="D149" i="1"/>
  <c r="P13" i="1"/>
  <c r="AB107" i="1"/>
  <c r="AH93" i="1"/>
  <c r="AD34" i="1"/>
  <c r="Y56" i="1"/>
  <c r="U123" i="1"/>
  <c r="S132" i="1"/>
  <c r="AG156" i="1"/>
  <c r="V123" i="1"/>
  <c r="Z132" i="1"/>
  <c r="R112" i="1"/>
  <c r="AC42" i="1"/>
  <c r="R40" i="1"/>
  <c r="H114" i="1"/>
  <c r="U97" i="1"/>
  <c r="F90" i="1"/>
  <c r="X38" i="1"/>
  <c r="Z5" i="1"/>
  <c r="AI24" i="1"/>
  <c r="C47" i="1"/>
  <c r="U26" i="1"/>
  <c r="N112" i="1"/>
  <c r="V145" i="1"/>
  <c r="AD155" i="1"/>
  <c r="I23" i="1"/>
  <c r="E28" i="1"/>
  <c r="N36" i="1"/>
  <c r="F3" i="1"/>
  <c r="I74" i="1"/>
  <c r="AE125" i="1"/>
  <c r="Z63" i="1"/>
  <c r="AB147" i="1"/>
  <c r="C21" i="1"/>
  <c r="C132" i="1"/>
  <c r="V4" i="1"/>
  <c r="O70" i="1"/>
  <c r="R152" i="1"/>
  <c r="U10" i="1"/>
  <c r="J80" i="1"/>
  <c r="AC141" i="1"/>
  <c r="AE63" i="1"/>
  <c r="Z120" i="1"/>
  <c r="AE78" i="1"/>
  <c r="AH156" i="1"/>
  <c r="S85" i="1"/>
  <c r="L53" i="1"/>
  <c r="AG152" i="1"/>
  <c r="K72" i="1"/>
  <c r="P152" i="1"/>
  <c r="AI126" i="1"/>
  <c r="AC25" i="1"/>
  <c r="Y50" i="1"/>
  <c r="M6" i="1"/>
  <c r="R46" i="1"/>
  <c r="AC65" i="1"/>
  <c r="C52" i="1"/>
  <c r="L9" i="1"/>
  <c r="P154" i="1"/>
  <c r="AG128" i="1"/>
  <c r="G147" i="1"/>
  <c r="P57" i="1"/>
  <c r="M11" i="1"/>
  <c r="O23" i="1"/>
  <c r="L31" i="1"/>
  <c r="R78" i="1"/>
  <c r="AG16" i="1"/>
  <c r="J128" i="1"/>
  <c r="U109" i="1"/>
  <c r="P12" i="1"/>
  <c r="X146" i="1"/>
  <c r="T146" i="1"/>
  <c r="AA64" i="1"/>
  <c r="AC9" i="1"/>
  <c r="K112" i="1"/>
  <c r="F150" i="1"/>
  <c r="AA111" i="1"/>
  <c r="AC103" i="1"/>
  <c r="F121" i="1"/>
  <c r="J145" i="1"/>
  <c r="L123" i="1"/>
  <c r="E5" i="1"/>
  <c r="AE53" i="1"/>
  <c r="AD47" i="1"/>
  <c r="T61" i="1"/>
  <c r="AH11" i="1"/>
  <c r="AH63" i="1"/>
  <c r="Z122" i="1"/>
  <c r="AC147" i="1"/>
  <c r="H112" i="1"/>
  <c r="K147" i="1"/>
  <c r="AE51" i="1"/>
  <c r="AA96" i="1"/>
  <c r="AI34" i="1"/>
  <c r="P60" i="1"/>
  <c r="M124" i="1"/>
  <c r="C74" i="1"/>
  <c r="AI152" i="1"/>
  <c r="K122" i="1"/>
  <c r="I123" i="1"/>
  <c r="Q99" i="1"/>
  <c r="X64" i="1"/>
  <c r="S81" i="1"/>
  <c r="M136" i="1"/>
  <c r="G133" i="1"/>
  <c r="J126" i="1"/>
  <c r="O93" i="1"/>
  <c r="G111" i="1"/>
  <c r="V34" i="1"/>
  <c r="C107" i="1"/>
  <c r="AE110" i="1"/>
  <c r="O143" i="1"/>
  <c r="AC33" i="1"/>
  <c r="AH46" i="1"/>
  <c r="I120" i="1"/>
  <c r="J108" i="1"/>
  <c r="K116" i="1"/>
  <c r="AC98" i="1"/>
  <c r="L58" i="1"/>
  <c r="AE75" i="1"/>
  <c r="AD37" i="1"/>
  <c r="T5" i="1"/>
  <c r="Z102" i="1"/>
  <c r="Y101" i="1"/>
  <c r="Z79" i="1"/>
  <c r="AE88" i="1"/>
  <c r="K141" i="1"/>
  <c r="AD14" i="1"/>
  <c r="O88" i="1"/>
  <c r="AD127" i="1"/>
  <c r="AH9" i="1"/>
  <c r="Z30" i="1"/>
  <c r="AH123" i="1"/>
  <c r="C143" i="1"/>
  <c r="W95" i="1"/>
  <c r="S105" i="1"/>
  <c r="V58" i="1"/>
  <c r="M78" i="1"/>
  <c r="U30" i="1"/>
  <c r="I17" i="1"/>
  <c r="Z43" i="1"/>
  <c r="AG4" i="1"/>
  <c r="V117" i="1"/>
  <c r="K11" i="1"/>
  <c r="X142" i="1"/>
  <c r="AF35" i="1"/>
  <c r="Y78" i="1"/>
  <c r="Y11" i="1"/>
  <c r="F59" i="1"/>
  <c r="F57" i="1"/>
  <c r="I73" i="1"/>
  <c r="N125" i="1"/>
  <c r="K85" i="1"/>
  <c r="J100" i="1"/>
  <c r="AB49" i="1"/>
  <c r="I146" i="1"/>
  <c r="U77" i="1"/>
  <c r="M2" i="1"/>
  <c r="AG48" i="1"/>
  <c r="R50" i="1"/>
  <c r="AI111" i="1"/>
  <c r="M77" i="1"/>
  <c r="N55" i="1"/>
  <c r="Z44" i="1"/>
  <c r="Q23" i="1"/>
  <c r="I75" i="1"/>
  <c r="S43" i="1"/>
  <c r="Z51" i="1"/>
  <c r="T56" i="1"/>
  <c r="V122" i="1"/>
  <c r="K7" i="1"/>
  <c r="S97" i="1"/>
  <c r="AI123" i="1"/>
  <c r="K119" i="1"/>
  <c r="D71" i="1"/>
  <c r="H50" i="1"/>
  <c r="D108" i="1"/>
  <c r="AG58" i="1"/>
  <c r="W62" i="1"/>
  <c r="S66" i="1"/>
  <c r="AE107" i="1"/>
  <c r="AD82" i="1"/>
  <c r="Z2" i="1"/>
  <c r="AF26" i="1"/>
  <c r="AE152" i="1"/>
  <c r="T151" i="1"/>
  <c r="AA95" i="1"/>
  <c r="C146" i="1"/>
  <c r="AA43" i="1"/>
  <c r="X100" i="1"/>
  <c r="W105" i="1"/>
  <c r="S74" i="1"/>
  <c r="AC41" i="1"/>
  <c r="F137" i="1"/>
  <c r="G37" i="1"/>
  <c r="AC38" i="1"/>
  <c r="N27" i="1"/>
  <c r="E117" i="1"/>
  <c r="U39" i="1"/>
  <c r="AA107" i="1"/>
  <c r="AD140" i="1"/>
  <c r="S44" i="1"/>
  <c r="N132" i="1"/>
  <c r="X11" i="1"/>
  <c r="H86" i="1"/>
  <c r="O86" i="1"/>
  <c r="G6" i="1"/>
  <c r="AI105" i="1"/>
  <c r="I153" i="1"/>
  <c r="O43" i="1"/>
  <c r="C69" i="1"/>
  <c r="X84" i="1"/>
  <c r="AH30" i="1"/>
  <c r="D86" i="1"/>
  <c r="AC62" i="1"/>
  <c r="S129" i="1"/>
  <c r="AC154" i="1"/>
  <c r="Y35" i="1"/>
  <c r="O105" i="1"/>
  <c r="W146" i="1"/>
  <c r="Q71" i="1"/>
  <c r="Y92" i="1"/>
  <c r="G127" i="1"/>
  <c r="AE145" i="1"/>
  <c r="AG84" i="1"/>
  <c r="N143" i="1"/>
  <c r="R63" i="1"/>
  <c r="O54" i="1"/>
  <c r="AI55" i="1"/>
  <c r="AI30" i="1"/>
  <c r="T138" i="1"/>
  <c r="AC53" i="1"/>
  <c r="N34" i="1"/>
  <c r="E51" i="1"/>
  <c r="I47" i="1"/>
  <c r="N138" i="1"/>
  <c r="Y86" i="1"/>
  <c r="U154" i="1"/>
  <c r="Y43" i="1"/>
  <c r="N33" i="1"/>
  <c r="AH36" i="1"/>
  <c r="AC37" i="1"/>
  <c r="AE84" i="1"/>
  <c r="G33" i="1"/>
  <c r="F51" i="1"/>
  <c r="Q113" i="1"/>
  <c r="H69" i="1"/>
  <c r="F130" i="1"/>
  <c r="K148" i="1"/>
  <c r="L16" i="1"/>
  <c r="N102" i="1"/>
  <c r="X99" i="1"/>
  <c r="AH112" i="1"/>
  <c r="E19" i="1"/>
  <c r="C99" i="1"/>
  <c r="K137" i="1"/>
  <c r="M132" i="1"/>
  <c r="AI144" i="1"/>
  <c r="U89" i="1"/>
  <c r="E64" i="1"/>
  <c r="Z64" i="1"/>
  <c r="R29" i="1"/>
  <c r="O79" i="1"/>
  <c r="N150" i="1"/>
  <c r="K146" i="1"/>
  <c r="O91" i="1"/>
  <c r="F103" i="1"/>
  <c r="AE25" i="1"/>
  <c r="E118" i="1"/>
  <c r="V134" i="1"/>
  <c r="H42" i="1"/>
  <c r="S79" i="1"/>
  <c r="I26" i="1"/>
  <c r="Z106" i="1"/>
  <c r="F38" i="1"/>
  <c r="R73" i="1"/>
  <c r="N37" i="1"/>
  <c r="C70" i="1"/>
  <c r="AF49" i="1"/>
  <c r="AC100" i="1"/>
  <c r="Y9" i="1"/>
  <c r="Z130" i="1"/>
  <c r="D113" i="1"/>
  <c r="O77" i="1"/>
  <c r="Y23" i="1"/>
  <c r="AD15" i="1"/>
  <c r="I97" i="1"/>
  <c r="AI8" i="1"/>
  <c r="O113" i="1"/>
  <c r="M140" i="1"/>
  <c r="D67" i="1"/>
  <c r="AG103" i="1"/>
  <c r="AE151" i="1"/>
  <c r="AD113" i="1"/>
  <c r="K104" i="1"/>
  <c r="F74" i="1"/>
  <c r="I61" i="1"/>
  <c r="H34" i="1"/>
  <c r="R26" i="1"/>
  <c r="T85" i="1"/>
  <c r="AE43" i="1"/>
  <c r="AD83" i="1"/>
  <c r="AI113" i="1"/>
  <c r="AC158" i="1"/>
  <c r="L147" i="1"/>
  <c r="AG96" i="1"/>
  <c r="L64" i="1"/>
  <c r="R66" i="1"/>
  <c r="AB63" i="1"/>
  <c r="Y45" i="1"/>
  <c r="Q136" i="1"/>
  <c r="Z56" i="1"/>
  <c r="Z24" i="1"/>
  <c r="Z52" i="1"/>
  <c r="Z83" i="1"/>
  <c r="T62" i="1"/>
  <c r="AC63" i="1"/>
  <c r="V68" i="1"/>
  <c r="V146" i="1"/>
  <c r="L83" i="1"/>
  <c r="AC85" i="1"/>
  <c r="AF143" i="1"/>
  <c r="Z118" i="1"/>
  <c r="Q111" i="1"/>
  <c r="T70" i="1"/>
  <c r="AA46" i="1"/>
  <c r="E71" i="1"/>
  <c r="P42" i="1"/>
  <c r="I24" i="1"/>
  <c r="M79" i="1"/>
  <c r="AF153" i="1"/>
  <c r="P128" i="1"/>
  <c r="AG144" i="1"/>
  <c r="Z87" i="1"/>
  <c r="S51" i="1"/>
  <c r="K89" i="1"/>
  <c r="X117" i="1"/>
  <c r="S55" i="1"/>
  <c r="S35" i="1"/>
  <c r="AA75" i="1"/>
  <c r="W67" i="1"/>
  <c r="C147" i="1"/>
  <c r="Z148" i="1"/>
  <c r="V40" i="1"/>
  <c r="Y47" i="1"/>
  <c r="AE103" i="1"/>
  <c r="H73" i="1"/>
  <c r="AA108" i="1"/>
  <c r="AI32" i="1"/>
  <c r="H21" i="1"/>
  <c r="AC128" i="1"/>
  <c r="P41" i="1"/>
  <c r="AB118" i="1"/>
  <c r="AF98" i="1"/>
  <c r="AG122" i="1"/>
  <c r="W77" i="1"/>
  <c r="G151" i="1"/>
  <c r="H33" i="1"/>
  <c r="F37" i="1"/>
  <c r="G144" i="1"/>
  <c r="H104" i="1"/>
  <c r="H61" i="1"/>
  <c r="AF13" i="1"/>
  <c r="E138" i="1"/>
  <c r="C31" i="1"/>
  <c r="S149" i="1"/>
  <c r="V64" i="1"/>
  <c r="M100" i="1"/>
  <c r="D117" i="1"/>
  <c r="H55" i="1"/>
  <c r="Z61" i="1"/>
  <c r="L36" i="1"/>
  <c r="H26" i="1"/>
  <c r="Z104" i="1"/>
  <c r="AF14" i="1"/>
  <c r="Z149" i="1"/>
  <c r="Y26" i="1"/>
  <c r="W42" i="1"/>
  <c r="AF16" i="1"/>
  <c r="J47" i="1"/>
  <c r="AI37" i="1"/>
  <c r="E37" i="1"/>
  <c r="I85" i="1"/>
  <c r="Q63" i="1"/>
  <c r="Q67" i="1"/>
  <c r="K33" i="1"/>
  <c r="C13" i="1"/>
  <c r="J63" i="1"/>
  <c r="Y156" i="1"/>
  <c r="Z80" i="1"/>
  <c r="AB125" i="1"/>
  <c r="AD19" i="1"/>
  <c r="C139" i="1"/>
  <c r="Q152" i="1"/>
  <c r="K100" i="1"/>
  <c r="AC99" i="1"/>
  <c r="AH128" i="1"/>
  <c r="M9" i="1"/>
  <c r="P32" i="1"/>
  <c r="T127" i="1"/>
  <c r="AI100" i="1"/>
  <c r="I64" i="1"/>
  <c r="AD99" i="1"/>
  <c r="X95" i="1"/>
  <c r="D93" i="1"/>
  <c r="W68" i="1"/>
  <c r="Z17" i="1"/>
  <c r="AA74" i="1"/>
  <c r="AG130" i="1"/>
  <c r="M33" i="1"/>
  <c r="AH59" i="1"/>
  <c r="J7" i="1"/>
  <c r="AC39" i="1"/>
  <c r="O57" i="1"/>
  <c r="R138" i="1"/>
  <c r="L139" i="1"/>
  <c r="L37" i="1"/>
  <c r="AE33" i="1"/>
  <c r="AH117" i="1"/>
  <c r="X10" i="1"/>
  <c r="P110" i="1"/>
  <c r="AG148" i="1"/>
  <c r="D146" i="1"/>
  <c r="G67" i="1"/>
  <c r="N110" i="1"/>
  <c r="AG73" i="1"/>
  <c r="O34" i="1"/>
  <c r="V20" i="1"/>
  <c r="S145" i="1"/>
  <c r="L67" i="1"/>
  <c r="P82" i="1"/>
  <c r="Q55" i="1"/>
  <c r="K31" i="1"/>
  <c r="Q79" i="1"/>
  <c r="J127" i="1"/>
  <c r="Z25" i="1"/>
  <c r="J61" i="1"/>
  <c r="L70" i="1"/>
  <c r="AC121" i="1"/>
  <c r="N53" i="1"/>
  <c r="AH22" i="1"/>
  <c r="Z119" i="1"/>
  <c r="T60" i="1"/>
  <c r="R3" i="1"/>
  <c r="AC80" i="1"/>
  <c r="I41" i="1"/>
  <c r="L151" i="1"/>
  <c r="P36" i="1"/>
  <c r="AI72" i="1"/>
  <c r="H6" i="1"/>
  <c r="AF150" i="1"/>
  <c r="D152" i="1"/>
  <c r="C117" i="1"/>
  <c r="J142" i="1"/>
  <c r="M127" i="1"/>
  <c r="V103" i="1"/>
  <c r="M142" i="1"/>
  <c r="T137" i="1"/>
  <c r="G71" i="1"/>
  <c r="D111" i="1"/>
  <c r="E102" i="1"/>
  <c r="AE76" i="1"/>
  <c r="H75" i="1"/>
  <c r="AC119" i="1"/>
  <c r="U106" i="1"/>
  <c r="X103" i="1"/>
  <c r="J11" i="1"/>
  <c r="M129" i="1"/>
  <c r="L134" i="1"/>
  <c r="AH44" i="1"/>
  <c r="AA62" i="1"/>
  <c r="K14" i="1"/>
  <c r="AH7" i="1"/>
  <c r="AG101" i="1"/>
  <c r="L78" i="1"/>
  <c r="X24" i="1"/>
  <c r="O158" i="1"/>
  <c r="AC144" i="1"/>
  <c r="E21" i="1"/>
  <c r="X57" i="1"/>
  <c r="L119" i="1"/>
  <c r="S48" i="1"/>
  <c r="P33" i="1"/>
  <c r="Z111" i="1"/>
  <c r="P27" i="1"/>
  <c r="AI9" i="1"/>
  <c r="U99" i="1"/>
  <c r="R119" i="1"/>
  <c r="AG111" i="1"/>
  <c r="AA58" i="1"/>
  <c r="I151" i="1"/>
  <c r="AE31" i="1"/>
  <c r="AD145" i="1"/>
  <c r="R89" i="1"/>
  <c r="T4" i="1"/>
  <c r="I100" i="1"/>
  <c r="K43" i="1"/>
  <c r="AH133" i="1"/>
  <c r="AF47" i="1"/>
  <c r="I149" i="1"/>
  <c r="C37" i="1"/>
  <c r="G158" i="1"/>
  <c r="M35" i="1"/>
  <c r="H133" i="1"/>
  <c r="G16" i="1"/>
  <c r="AG94" i="1"/>
  <c r="S152" i="1"/>
  <c r="N50" i="1"/>
  <c r="AD30" i="1"/>
  <c r="Y64" i="1"/>
  <c r="H119" i="1"/>
  <c r="AA44" i="1"/>
  <c r="AF46" i="1"/>
  <c r="M153" i="1"/>
  <c r="O101" i="1"/>
  <c r="AB2" i="1"/>
  <c r="AC107" i="1"/>
  <c r="AD49" i="1"/>
  <c r="U126" i="1"/>
  <c r="T84" i="1"/>
  <c r="N129" i="1"/>
  <c r="J33" i="1"/>
  <c r="C15" i="1"/>
  <c r="Z158" i="1"/>
  <c r="AB103" i="1"/>
  <c r="Q8" i="1"/>
  <c r="G82" i="1"/>
  <c r="N48" i="1"/>
  <c r="T48" i="1"/>
  <c r="AB38" i="1"/>
  <c r="C14" i="1"/>
  <c r="D9" i="1"/>
  <c r="O47" i="1"/>
  <c r="E34" i="1"/>
  <c r="AD154" i="1"/>
  <c r="T86" i="1"/>
  <c r="M88" i="1"/>
  <c r="S59" i="1"/>
  <c r="T131" i="1"/>
  <c r="AG112" i="1"/>
  <c r="AE17" i="1"/>
  <c r="V66" i="1"/>
  <c r="C114" i="1"/>
  <c r="Y5" i="1"/>
  <c r="E95" i="1"/>
  <c r="AI99" i="1"/>
  <c r="Z152" i="1"/>
  <c r="G39" i="1"/>
  <c r="C51" i="1"/>
  <c r="V14" i="1"/>
  <c r="R148" i="1"/>
  <c r="AA13" i="1"/>
  <c r="X52" i="1"/>
  <c r="AE24" i="1"/>
  <c r="Y119" i="1"/>
  <c r="J132" i="1"/>
  <c r="J92" i="1"/>
  <c r="S14" i="1"/>
  <c r="J79" i="1"/>
  <c r="J144" i="1"/>
  <c r="V95" i="1"/>
  <c r="P124" i="1"/>
  <c r="T122" i="1"/>
  <c r="M71" i="1"/>
  <c r="D157" i="1"/>
  <c r="W78" i="1"/>
  <c r="Y152" i="1"/>
  <c r="H31" i="1"/>
  <c r="D123" i="1"/>
  <c r="H62" i="1"/>
  <c r="AA155" i="1"/>
  <c r="AD26" i="1"/>
  <c r="W98" i="1"/>
  <c r="K25" i="1"/>
  <c r="AF54" i="1"/>
  <c r="N149" i="1"/>
  <c r="Z47" i="1"/>
  <c r="AB154" i="1"/>
  <c r="N22" i="1"/>
  <c r="W155" i="1"/>
  <c r="AA145" i="1"/>
  <c r="E52" i="1"/>
  <c r="AD116" i="1"/>
  <c r="D137" i="1"/>
  <c r="AH138" i="1"/>
  <c r="AB89" i="1"/>
  <c r="P111" i="1"/>
  <c r="Z123" i="1"/>
  <c r="L150" i="1"/>
  <c r="I135" i="1"/>
  <c r="I147" i="1"/>
  <c r="T112" i="1"/>
  <c r="H100" i="1"/>
  <c r="AI2" i="1"/>
  <c r="G132" i="1"/>
  <c r="G45" i="1"/>
  <c r="G69" i="1"/>
  <c r="AI14" i="1"/>
  <c r="W91" i="1"/>
  <c r="AB46" i="1"/>
  <c r="J72" i="1"/>
  <c r="J96" i="1"/>
  <c r="AD100" i="1"/>
  <c r="V55" i="1"/>
  <c r="T149" i="1"/>
  <c r="C40" i="1"/>
  <c r="H65" i="1"/>
  <c r="G10" i="1"/>
  <c r="U70" i="1"/>
  <c r="S8" i="1"/>
  <c r="D132" i="1"/>
  <c r="R24" i="1"/>
  <c r="P135" i="1"/>
  <c r="P20" i="1"/>
  <c r="R22" i="1"/>
  <c r="F10" i="1"/>
  <c r="J22" i="1"/>
  <c r="AE67" i="1"/>
  <c r="W100" i="1"/>
  <c r="D46" i="1"/>
  <c r="M45" i="1"/>
  <c r="L54" i="1"/>
  <c r="U36" i="1"/>
  <c r="H54" i="1"/>
  <c r="R121" i="1"/>
  <c r="AB82" i="1"/>
  <c r="W35" i="1"/>
  <c r="AG153" i="1"/>
  <c r="S86" i="1"/>
  <c r="U11" i="1"/>
  <c r="V118" i="1"/>
  <c r="P75" i="1"/>
  <c r="Q133" i="1"/>
  <c r="N4" i="1"/>
  <c r="AG136" i="1"/>
  <c r="J38" i="1"/>
  <c r="G20" i="1"/>
  <c r="AB17" i="1"/>
  <c r="U64" i="1"/>
  <c r="J118" i="1"/>
  <c r="D59" i="1"/>
  <c r="E22" i="1"/>
  <c r="AC156" i="1"/>
  <c r="L132" i="1"/>
  <c r="AF45" i="1"/>
  <c r="J124" i="1"/>
  <c r="F39" i="1"/>
  <c r="V93" i="1"/>
  <c r="E35" i="1"/>
  <c r="P63" i="1"/>
  <c r="R51" i="1"/>
  <c r="R5" i="1"/>
  <c r="M117" i="1"/>
  <c r="E26" i="1"/>
  <c r="G92" i="1"/>
  <c r="D76" i="1"/>
  <c r="K23" i="1"/>
  <c r="K143" i="1"/>
  <c r="AD92" i="1"/>
  <c r="D83" i="1"/>
  <c r="Q146" i="1"/>
  <c r="U90" i="1"/>
  <c r="J112" i="1"/>
  <c r="C130" i="1"/>
  <c r="Z37" i="1"/>
  <c r="S115" i="1"/>
  <c r="Y10" i="1"/>
  <c r="X130" i="1"/>
  <c r="AH58" i="1"/>
  <c r="Q24" i="1"/>
  <c r="J67" i="1"/>
  <c r="I44" i="1"/>
  <c r="Y55" i="1"/>
  <c r="AA28" i="1"/>
  <c r="G11" i="1"/>
  <c r="AD106" i="1"/>
  <c r="L98" i="1"/>
  <c r="D33" i="1"/>
  <c r="AG37" i="1"/>
  <c r="V10" i="1"/>
  <c r="X102" i="1"/>
  <c r="J2" i="1"/>
  <c r="L126" i="1"/>
  <c r="R93" i="1"/>
  <c r="AC24" i="1"/>
  <c r="R133" i="1"/>
  <c r="X121" i="1"/>
  <c r="R129" i="1"/>
  <c r="Q6" i="1"/>
  <c r="M155" i="1"/>
  <c r="D81" i="1"/>
  <c r="U105" i="1"/>
  <c r="H7" i="1"/>
  <c r="X13" i="1"/>
  <c r="N156" i="1"/>
  <c r="G19" i="1"/>
  <c r="F107" i="1"/>
  <c r="C116" i="1"/>
  <c r="E158" i="1"/>
  <c r="Q44" i="1"/>
  <c r="G46" i="1"/>
  <c r="AB148" i="1"/>
  <c r="F73" i="1"/>
  <c r="AE141" i="1"/>
  <c r="L110" i="1"/>
  <c r="H90" i="1"/>
  <c r="I109" i="1"/>
  <c r="AA38" i="1"/>
  <c r="Y4" i="1"/>
  <c r="T72" i="1"/>
  <c r="AI79" i="1"/>
  <c r="D124" i="1"/>
  <c r="AH74" i="1"/>
  <c r="N54" i="1"/>
  <c r="T150" i="1"/>
  <c r="H95" i="1"/>
  <c r="AI62" i="1"/>
  <c r="AC57" i="1"/>
  <c r="AG138" i="1"/>
  <c r="L86" i="1"/>
  <c r="U37" i="1"/>
  <c r="P77" i="1"/>
  <c r="AB88" i="1"/>
  <c r="V154" i="1"/>
  <c r="L100" i="1"/>
  <c r="X22" i="1"/>
  <c r="N127" i="1"/>
  <c r="S124" i="1"/>
  <c r="Y17" i="1"/>
  <c r="AG26" i="1"/>
  <c r="AA16" i="1"/>
  <c r="AH152" i="1"/>
  <c r="K151" i="1"/>
  <c r="S11" i="1"/>
  <c r="X40" i="1"/>
  <c r="D140" i="1"/>
  <c r="Z109" i="1"/>
  <c r="H130" i="1"/>
  <c r="AG119" i="1"/>
  <c r="AD129" i="1"/>
  <c r="M68" i="1"/>
  <c r="V49" i="1"/>
  <c r="R38" i="1"/>
  <c r="AI13" i="1"/>
  <c r="F125" i="1"/>
  <c r="AI83" i="1"/>
  <c r="D114" i="1"/>
  <c r="AF116" i="1"/>
  <c r="M8" i="1"/>
  <c r="AB16" i="1"/>
  <c r="J102" i="1"/>
  <c r="U68" i="1"/>
  <c r="J155" i="1"/>
  <c r="AI103" i="1"/>
  <c r="K69" i="1"/>
  <c r="U147" i="1"/>
  <c r="C122" i="1"/>
  <c r="AE83" i="1"/>
  <c r="K34" i="1"/>
  <c r="AB4" i="1"/>
  <c r="AC134" i="1"/>
  <c r="D44" i="1"/>
  <c r="AF117" i="1"/>
  <c r="D8" i="1"/>
  <c r="Y109" i="1"/>
  <c r="Y38" i="1"/>
  <c r="AB19" i="1"/>
  <c r="AD80" i="1"/>
  <c r="K88" i="1"/>
  <c r="AF50" i="1"/>
  <c r="AE34" i="1"/>
  <c r="W41" i="1"/>
  <c r="L72" i="1"/>
  <c r="O132" i="1"/>
  <c r="O80" i="1"/>
  <c r="N70" i="1"/>
  <c r="AG83" i="1"/>
  <c r="AG126" i="1"/>
  <c r="AA61" i="1"/>
  <c r="AA60" i="1"/>
  <c r="AG102" i="1"/>
  <c r="J62" i="1"/>
  <c r="P145" i="1"/>
  <c r="D38" i="1"/>
  <c r="G94" i="1"/>
  <c r="AB10" i="1"/>
  <c r="L104" i="1"/>
  <c r="E58" i="1"/>
  <c r="S29" i="1"/>
  <c r="AD138" i="1"/>
  <c r="AD53" i="1"/>
  <c r="K94" i="1"/>
  <c r="AF152" i="1"/>
  <c r="AA142" i="1"/>
  <c r="AH116" i="1"/>
  <c r="AA78" i="1"/>
  <c r="AG11" i="1"/>
  <c r="AD120" i="1"/>
  <c r="T152" i="1"/>
  <c r="F92" i="1"/>
  <c r="AH48" i="1"/>
  <c r="H102" i="1"/>
  <c r="AD46" i="1"/>
  <c r="AH87" i="1"/>
  <c r="E14" i="1"/>
  <c r="AE8" i="1"/>
  <c r="AC145" i="1"/>
  <c r="Z97" i="1"/>
  <c r="AI158" i="1"/>
  <c r="AE79" i="1"/>
  <c r="Z32" i="1"/>
  <c r="AH5" i="1"/>
  <c r="C78" i="1"/>
  <c r="AE150" i="1"/>
  <c r="AG124" i="1"/>
  <c r="D31" i="1"/>
  <c r="K82" i="1"/>
  <c r="E145" i="1"/>
  <c r="AH40" i="1"/>
  <c r="N103" i="1"/>
  <c r="G79" i="1"/>
  <c r="AI90" i="1"/>
  <c r="Q135" i="1"/>
  <c r="Y2" i="1"/>
  <c r="T81" i="1"/>
  <c r="W79" i="1"/>
  <c r="C137" i="1"/>
  <c r="E70" i="1"/>
  <c r="AA114" i="1"/>
  <c r="AA98" i="1"/>
  <c r="AH101" i="1"/>
  <c r="AD123" i="1"/>
  <c r="R144" i="1"/>
  <c r="AF94" i="1"/>
  <c r="AI131" i="1"/>
  <c r="D141" i="1"/>
  <c r="O13" i="1"/>
  <c r="L92" i="1"/>
  <c r="I10" i="1"/>
  <c r="K42" i="1"/>
  <c r="P58" i="1"/>
  <c r="V63" i="1"/>
  <c r="X53" i="1"/>
  <c r="L91" i="1"/>
  <c r="N2" i="1"/>
  <c r="V120" i="1"/>
  <c r="O10" i="1"/>
  <c r="X34" i="1"/>
  <c r="AC72" i="1"/>
  <c r="Q58" i="1"/>
  <c r="G29" i="1"/>
  <c r="F46" i="1"/>
  <c r="O81" i="1"/>
  <c r="U8" i="1"/>
  <c r="AD36" i="1"/>
  <c r="N15" i="1"/>
  <c r="S72" i="1"/>
  <c r="O68" i="1"/>
  <c r="J110" i="1"/>
  <c r="V136" i="1"/>
  <c r="R102" i="1"/>
  <c r="E75" i="1"/>
  <c r="I139" i="1"/>
  <c r="AH126" i="1"/>
  <c r="J122" i="1"/>
  <c r="S36" i="1"/>
  <c r="AF84" i="1"/>
  <c r="F133" i="1"/>
  <c r="P48" i="1"/>
  <c r="AG154" i="1"/>
  <c r="W72" i="1"/>
  <c r="AH15" i="1"/>
  <c r="Z89" i="1"/>
  <c r="V143" i="1"/>
  <c r="H29" i="1"/>
  <c r="D125" i="1"/>
  <c r="Z50" i="1"/>
  <c r="AA47" i="1"/>
  <c r="I108" i="1"/>
  <c r="R17" i="1"/>
  <c r="Z153" i="1"/>
  <c r="K101" i="1"/>
  <c r="T156" i="1"/>
  <c r="K74" i="1"/>
  <c r="Y144" i="1"/>
  <c r="AI147" i="1"/>
  <c r="V125" i="1"/>
  <c r="C39" i="1"/>
  <c r="S12" i="1"/>
  <c r="AG25" i="1"/>
  <c r="E68" i="1"/>
  <c r="U95" i="1"/>
  <c r="AE21" i="1"/>
  <c r="AA86" i="1"/>
  <c r="E127" i="1"/>
  <c r="AI128" i="1"/>
  <c r="H41" i="1"/>
  <c r="G104" i="1"/>
  <c r="E119" i="1"/>
  <c r="AI95" i="1"/>
  <c r="G53" i="1"/>
  <c r="Y39" i="1"/>
  <c r="V94" i="1"/>
  <c r="R142" i="1"/>
  <c r="AA7" i="1"/>
  <c r="E8" i="1"/>
  <c r="AH56" i="1"/>
  <c r="AC123" i="1"/>
  <c r="N59" i="1"/>
  <c r="P122" i="1"/>
  <c r="Y77" i="1"/>
  <c r="AI40" i="1"/>
  <c r="X33" i="1"/>
  <c r="F85" i="1"/>
  <c r="O42" i="1"/>
  <c r="P84" i="1"/>
  <c r="G75" i="1"/>
  <c r="H151" i="1"/>
  <c r="C133" i="1"/>
  <c r="AD144" i="1"/>
  <c r="G130" i="1"/>
  <c r="AF21" i="1"/>
  <c r="AI36" i="1"/>
  <c r="AC146" i="1"/>
  <c r="AB130" i="1"/>
  <c r="E141" i="1"/>
  <c r="AH51" i="1"/>
  <c r="W58" i="1"/>
  <c r="Q116" i="1"/>
  <c r="E115" i="1"/>
  <c r="E80" i="1"/>
  <c r="F44" i="1"/>
  <c r="AH100" i="1"/>
  <c r="C108" i="1"/>
  <c r="D101" i="1"/>
  <c r="U115" i="1"/>
  <c r="AD12" i="1"/>
  <c r="T33" i="1"/>
  <c r="P80" i="1"/>
  <c r="AD133" i="1"/>
  <c r="K106" i="1"/>
  <c r="AH81" i="1"/>
  <c r="C85" i="1"/>
  <c r="P22" i="1"/>
  <c r="X3" i="1"/>
  <c r="X91" i="1"/>
  <c r="C142" i="1"/>
  <c r="E74" i="1"/>
  <c r="AA147" i="1"/>
  <c r="AF17" i="1"/>
  <c r="N84" i="1"/>
  <c r="AC43" i="1"/>
  <c r="I124" i="1"/>
  <c r="C73" i="1"/>
  <c r="K114" i="1"/>
  <c r="AG116" i="1"/>
  <c r="D30" i="1"/>
  <c r="AG52" i="1"/>
  <c r="L3" i="1"/>
  <c r="C25" i="1"/>
  <c r="AC35" i="1"/>
  <c r="AB75" i="1"/>
  <c r="AH12" i="1"/>
  <c r="S18" i="1"/>
  <c r="Y60" i="1"/>
  <c r="Z144" i="1"/>
  <c r="I51" i="1"/>
  <c r="E66" i="1"/>
  <c r="Y44" i="1"/>
  <c r="L144" i="1"/>
  <c r="V141" i="1"/>
  <c r="C23" i="1"/>
  <c r="AI73" i="1"/>
  <c r="AD64" i="1"/>
  <c r="R74" i="1"/>
  <c r="T79" i="1"/>
  <c r="F117" i="1"/>
  <c r="Y94" i="1"/>
  <c r="F93" i="1"/>
  <c r="I69" i="1"/>
  <c r="Y142" i="1"/>
  <c r="I152" i="1"/>
  <c r="O152" i="1"/>
  <c r="AB116" i="1"/>
  <c r="W19" i="1"/>
  <c r="F70" i="1"/>
  <c r="F63" i="1"/>
  <c r="AC97" i="1"/>
  <c r="Y76" i="1"/>
  <c r="S2" i="1"/>
  <c r="H136" i="1"/>
  <c r="K36" i="1"/>
  <c r="V101" i="1"/>
  <c r="U86" i="1"/>
  <c r="F32" i="1"/>
  <c r="S100" i="1"/>
  <c r="L82" i="1"/>
  <c r="T64" i="1"/>
  <c r="M139" i="1"/>
  <c r="O108" i="1"/>
  <c r="K120" i="1"/>
  <c r="X128" i="1"/>
  <c r="AE133" i="1"/>
  <c r="W135" i="1"/>
  <c r="AE35" i="1"/>
  <c r="H35" i="1"/>
  <c r="N137" i="1"/>
  <c r="Y107" i="1"/>
  <c r="AA121" i="1"/>
  <c r="I96" i="1"/>
  <c r="AH155" i="1"/>
  <c r="AI69" i="1"/>
  <c r="AA103" i="1"/>
  <c r="N24" i="1"/>
  <c r="E6" i="1"/>
  <c r="K123" i="1"/>
  <c r="K70" i="1"/>
  <c r="V45" i="1"/>
  <c r="S16" i="1"/>
  <c r="AC68" i="1"/>
  <c r="R4" i="1"/>
  <c r="O90" i="1"/>
  <c r="Y157" i="1"/>
  <c r="AB24" i="1"/>
  <c r="J81" i="1"/>
  <c r="N8" i="1"/>
  <c r="AC148" i="1"/>
  <c r="U153" i="1"/>
  <c r="C129" i="1"/>
  <c r="J156" i="1"/>
  <c r="W7" i="1"/>
  <c r="R95" i="1"/>
  <c r="W38" i="1"/>
  <c r="H66" i="1"/>
  <c r="AC83" i="1"/>
  <c r="L128" i="1"/>
  <c r="P93" i="1"/>
  <c r="AB108" i="1"/>
  <c r="W128" i="1"/>
  <c r="G131" i="1"/>
  <c r="W152" i="1"/>
  <c r="O60" i="1"/>
  <c r="E137" i="1"/>
  <c r="K47" i="1"/>
  <c r="K20" i="1"/>
  <c r="Y95" i="1"/>
  <c r="U51" i="1"/>
  <c r="U116" i="1"/>
  <c r="E131" i="1"/>
  <c r="J121" i="1"/>
  <c r="AB70" i="1"/>
  <c r="AI145" i="1"/>
  <c r="R34" i="1"/>
  <c r="V127" i="1"/>
  <c r="AH102" i="1"/>
  <c r="K105" i="1"/>
  <c r="AB79" i="1"/>
  <c r="AH151" i="1"/>
  <c r="H153" i="1"/>
  <c r="F129" i="1"/>
  <c r="AD5" i="1"/>
  <c r="AB111" i="1"/>
  <c r="Z7" i="1"/>
  <c r="AF6" i="1"/>
  <c r="AG135" i="1"/>
  <c r="D25" i="1"/>
  <c r="S119" i="1"/>
  <c r="Y85" i="1"/>
  <c r="AE126" i="1"/>
  <c r="Q118" i="1"/>
  <c r="Y135" i="1"/>
  <c r="T26" i="1"/>
  <c r="AE30" i="1"/>
  <c r="AC152" i="1"/>
  <c r="U59" i="1"/>
  <c r="W12" i="1"/>
  <c r="C80" i="1"/>
  <c r="AG109" i="1"/>
  <c r="AE50" i="1"/>
  <c r="R124" i="1"/>
  <c r="AC66" i="1"/>
  <c r="P151" i="1"/>
  <c r="W15" i="1"/>
  <c r="AG117" i="1"/>
  <c r="AB36" i="1"/>
  <c r="AG133" i="1"/>
  <c r="E27" i="1"/>
  <c r="N94" i="1"/>
  <c r="P90" i="1"/>
  <c r="Q20" i="1"/>
  <c r="AF147" i="1"/>
  <c r="U142" i="1"/>
  <c r="Z98" i="1"/>
  <c r="E103" i="1"/>
  <c r="K41" i="1"/>
  <c r="Z36" i="1"/>
  <c r="I130" i="1"/>
  <c r="C76" i="1"/>
  <c r="T102" i="1"/>
  <c r="Z157" i="1"/>
  <c r="L94" i="1"/>
  <c r="Y153" i="1"/>
  <c r="AH98" i="1"/>
  <c r="AF27" i="1"/>
  <c r="T93" i="1"/>
  <c r="K156" i="1"/>
  <c r="Z55" i="1"/>
  <c r="Z142" i="1"/>
  <c r="T77" i="1"/>
  <c r="M29" i="1"/>
  <c r="S142" i="1"/>
  <c r="I15" i="1"/>
  <c r="H83" i="1"/>
  <c r="AI156" i="1"/>
  <c r="F11" i="1"/>
  <c r="P19" i="1"/>
  <c r="AF48" i="1"/>
  <c r="P45" i="1"/>
  <c r="O98" i="1"/>
  <c r="R53" i="1"/>
  <c r="L85" i="1"/>
  <c r="AI68" i="1"/>
  <c r="AI110" i="1"/>
  <c r="AD65" i="1"/>
  <c r="AB143" i="1"/>
  <c r="O69" i="1"/>
  <c r="I137" i="1"/>
  <c r="AA109" i="1"/>
  <c r="V78" i="1"/>
  <c r="AF92" i="1"/>
  <c r="AE70" i="1"/>
  <c r="M30" i="1"/>
  <c r="M17" i="1"/>
  <c r="D5" i="1"/>
  <c r="D84" i="1"/>
  <c r="I86" i="1"/>
  <c r="F64" i="1"/>
  <c r="V108" i="1"/>
  <c r="R57" i="1"/>
  <c r="L73" i="1"/>
  <c r="AD76" i="1"/>
  <c r="Y66" i="1"/>
  <c r="O147" i="1"/>
  <c r="H72" i="1"/>
  <c r="S50" i="1"/>
  <c r="V39" i="1"/>
  <c r="AB157" i="1"/>
  <c r="X69" i="1"/>
  <c r="AI122" i="1"/>
  <c r="P98" i="1"/>
  <c r="AF24" i="1"/>
  <c r="C48" i="1"/>
  <c r="Y72" i="1"/>
  <c r="AC155" i="1"/>
  <c r="J151" i="1"/>
  <c r="R68" i="1"/>
  <c r="AG23" i="1"/>
  <c r="AH76" i="1"/>
  <c r="AF146" i="1"/>
  <c r="E129" i="1"/>
  <c r="S62" i="1"/>
  <c r="K61" i="1"/>
  <c r="D26" i="1"/>
  <c r="O59" i="1"/>
  <c r="Z114" i="1"/>
  <c r="R106" i="1"/>
  <c r="AE96" i="1"/>
  <c r="K158" i="1"/>
  <c r="I39" i="1"/>
  <c r="U2" i="1"/>
  <c r="AD81" i="1"/>
  <c r="AE95" i="1"/>
  <c r="X68" i="1"/>
  <c r="J5" i="1"/>
  <c r="P146" i="1"/>
  <c r="Y132" i="1"/>
  <c r="G140" i="1"/>
  <c r="D122" i="1"/>
  <c r="R54" i="1"/>
  <c r="P137" i="1"/>
  <c r="D58" i="1"/>
  <c r="S123" i="1"/>
  <c r="W74" i="1"/>
  <c r="T25" i="1"/>
  <c r="Z94" i="1"/>
  <c r="O25" i="1"/>
  <c r="AD75" i="1"/>
  <c r="AA10" i="1"/>
  <c r="I9" i="1"/>
  <c r="N147" i="1"/>
  <c r="K38" i="1"/>
  <c r="AE59" i="1"/>
  <c r="F139" i="1"/>
  <c r="I145" i="1"/>
  <c r="G84" i="1"/>
  <c r="U34" i="1"/>
  <c r="AD156" i="1"/>
  <c r="H110" i="1"/>
  <c r="W85" i="1"/>
  <c r="Z96" i="1"/>
  <c r="C121" i="1"/>
  <c r="P144" i="1"/>
  <c r="V16" i="1"/>
  <c r="N106" i="1"/>
  <c r="AI98" i="1"/>
  <c r="AI20" i="1"/>
  <c r="E128" i="1"/>
  <c r="I54" i="1"/>
  <c r="C153" i="1"/>
  <c r="AH113" i="1"/>
  <c r="T89" i="1"/>
  <c r="E124" i="1"/>
  <c r="AH8" i="1"/>
  <c r="E88" i="1"/>
  <c r="C30" i="1"/>
  <c r="P65" i="1"/>
  <c r="Z137" i="1"/>
  <c r="X32" i="1"/>
  <c r="AH55" i="1"/>
  <c r="D41" i="1"/>
  <c r="O137" i="1"/>
  <c r="AC13" i="1"/>
  <c r="J52" i="1"/>
  <c r="K4" i="1"/>
  <c r="M18" i="1"/>
  <c r="AB90" i="1"/>
  <c r="C59" i="1"/>
  <c r="AC82" i="1"/>
  <c r="T130" i="1"/>
  <c r="U15" i="1"/>
  <c r="I63" i="1"/>
  <c r="S3" i="1"/>
  <c r="N63" i="1"/>
  <c r="AI117" i="1"/>
  <c r="H38" i="1"/>
  <c r="S75" i="1"/>
  <c r="AA25" i="1"/>
  <c r="AG87" i="1"/>
  <c r="W142" i="1"/>
  <c r="F136" i="1"/>
  <c r="M36" i="1"/>
  <c r="AI54" i="1"/>
  <c r="K84" i="1"/>
  <c r="F105" i="1"/>
  <c r="I43" i="1"/>
  <c r="N123" i="1"/>
  <c r="G5" i="1"/>
  <c r="K17" i="1"/>
  <c r="AA81" i="1"/>
  <c r="O150" i="1"/>
  <c r="G110" i="1"/>
  <c r="P94" i="1"/>
  <c r="C110" i="1"/>
  <c r="N10" i="1"/>
  <c r="E42" i="1"/>
  <c r="N35" i="1"/>
  <c r="G153" i="1"/>
  <c r="P107" i="1"/>
  <c r="T157" i="1"/>
  <c r="P86" i="1"/>
  <c r="D11" i="1"/>
  <c r="G34" i="1"/>
  <c r="AA30" i="1"/>
  <c r="N93" i="1"/>
  <c r="AB9" i="1"/>
  <c r="X6" i="1"/>
  <c r="AC114" i="1"/>
  <c r="AG55" i="1"/>
  <c r="AH33" i="1"/>
  <c r="AB58" i="1"/>
  <c r="R48" i="1"/>
  <c r="C96" i="1"/>
  <c r="AC120" i="1"/>
  <c r="K96" i="1"/>
  <c r="X147" i="1"/>
  <c r="AC54" i="1"/>
  <c r="AB14" i="1"/>
  <c r="Y84" i="1"/>
  <c r="AG13" i="1"/>
  <c r="Q40" i="1"/>
  <c r="AB156" i="1"/>
  <c r="AH32" i="1"/>
  <c r="AD89" i="1"/>
  <c r="L77" i="1"/>
  <c r="T101" i="1"/>
  <c r="Q46" i="1"/>
  <c r="D2" i="1"/>
  <c r="AB65" i="1"/>
  <c r="AH148" i="1"/>
  <c r="S90" i="1"/>
  <c r="F138" i="1"/>
  <c r="V67" i="1"/>
  <c r="Q32" i="1"/>
  <c r="AI150" i="1"/>
  <c r="I57" i="1"/>
  <c r="D92" i="1"/>
  <c r="Z100" i="1"/>
  <c r="H129" i="1"/>
  <c r="L114" i="1"/>
  <c r="AG65" i="1"/>
  <c r="P89" i="1"/>
  <c r="F4" i="1"/>
  <c r="AE29" i="1"/>
  <c r="S40" i="1"/>
  <c r="T158" i="1"/>
  <c r="AA66" i="1"/>
  <c r="N77" i="1"/>
  <c r="S122" i="1"/>
  <c r="O146" i="1"/>
  <c r="AE6" i="1"/>
  <c r="Q27" i="1"/>
  <c r="AG18" i="1"/>
  <c r="AC2" i="1"/>
  <c r="AH132" i="1"/>
  <c r="M118" i="1"/>
  <c r="AD153" i="1"/>
  <c r="AG42" i="1"/>
  <c r="E151" i="1"/>
  <c r="I104" i="1"/>
  <c r="AF3" i="1"/>
  <c r="C104" i="1"/>
  <c r="L33" i="1"/>
  <c r="U9" i="1"/>
  <c r="W30" i="1"/>
  <c r="X157" i="1"/>
  <c r="AD8" i="1"/>
  <c r="E31" i="1"/>
  <c r="F62" i="1"/>
  <c r="U29" i="1"/>
  <c r="H85" i="1"/>
  <c r="AC153" i="1"/>
  <c r="L63" i="1"/>
  <c r="AA67" i="1"/>
  <c r="D131" i="1"/>
  <c r="E23" i="1"/>
  <c r="L46" i="1"/>
  <c r="I4" i="1"/>
  <c r="AC92" i="1"/>
  <c r="P148" i="1"/>
  <c r="M138" i="1"/>
  <c r="R150" i="1"/>
  <c r="S151" i="1"/>
  <c r="AH29" i="1"/>
  <c r="M23" i="1"/>
  <c r="Y121" i="1"/>
  <c r="X44" i="1"/>
  <c r="U132" i="1"/>
  <c r="R71" i="1"/>
  <c r="L62" i="1"/>
  <c r="O27" i="1"/>
  <c r="R127" i="1"/>
  <c r="AI27" i="1"/>
  <c r="M69" i="1"/>
  <c r="N107" i="1"/>
  <c r="L79" i="1"/>
  <c r="N32" i="1"/>
  <c r="J6" i="1"/>
  <c r="K136" i="1"/>
  <c r="AF82" i="1"/>
  <c r="P134" i="1"/>
  <c r="AF37" i="1"/>
  <c r="O66" i="1"/>
  <c r="AC15" i="1"/>
  <c r="J43" i="1"/>
  <c r="X149" i="1"/>
  <c r="X54" i="1"/>
  <c r="O106" i="1"/>
  <c r="H71" i="1"/>
  <c r="AE117" i="1"/>
  <c r="T14" i="1"/>
  <c r="AC4" i="1"/>
  <c r="H154" i="1"/>
  <c r="AA124" i="1"/>
  <c r="I77" i="1"/>
  <c r="C118" i="1"/>
  <c r="K131" i="1"/>
  <c r="L154" i="1"/>
  <c r="Q39" i="1"/>
  <c r="U149" i="1"/>
  <c r="G96" i="1"/>
  <c r="Y91" i="1"/>
  <c r="AI127" i="1"/>
  <c r="AF65" i="1"/>
  <c r="AA110" i="1"/>
  <c r="D16" i="1"/>
  <c r="W156" i="1"/>
  <c r="H122" i="1"/>
  <c r="AA149" i="1"/>
  <c r="AF109" i="1"/>
  <c r="F88" i="1"/>
  <c r="S9" i="1"/>
  <c r="AG14" i="1"/>
  <c r="S89" i="1"/>
  <c r="E152" i="1"/>
  <c r="I122" i="1"/>
  <c r="T111" i="1"/>
  <c r="C157" i="1"/>
  <c r="F131" i="1"/>
  <c r="AI65" i="1"/>
  <c r="AC84" i="1"/>
  <c r="AE46" i="1"/>
  <c r="D135" i="1"/>
  <c r="J129" i="1"/>
  <c r="M48" i="1"/>
  <c r="V84" i="1"/>
  <c r="Y155" i="1"/>
  <c r="AD141" i="1"/>
  <c r="AC59" i="1"/>
  <c r="O71" i="1"/>
  <c r="D22" i="1"/>
  <c r="L21" i="1"/>
  <c r="AA118" i="1"/>
  <c r="AE49" i="1"/>
  <c r="F67" i="1"/>
  <c r="X127" i="1"/>
  <c r="AC118" i="1"/>
  <c r="K132" i="1"/>
  <c r="J39" i="1"/>
  <c r="I21" i="1"/>
  <c r="V107" i="1"/>
  <c r="L13" i="1"/>
  <c r="O78" i="1"/>
  <c r="S33" i="1"/>
  <c r="AB37" i="1"/>
  <c r="W131" i="1"/>
  <c r="M149" i="1"/>
  <c r="AE28" i="1"/>
  <c r="M91" i="1"/>
  <c r="AC89" i="1"/>
  <c r="AE69" i="1"/>
  <c r="C149" i="1"/>
  <c r="C88" i="1"/>
  <c r="V131" i="1"/>
  <c r="AF107" i="1"/>
  <c r="V74" i="1"/>
  <c r="D55" i="1"/>
  <c r="K127" i="1"/>
  <c r="C97" i="1"/>
  <c r="H99" i="1"/>
  <c r="AG131" i="1"/>
  <c r="M131" i="1"/>
  <c r="AD27" i="1"/>
  <c r="Z71" i="1"/>
  <c r="AF81" i="1"/>
  <c r="AG118" i="1"/>
  <c r="W50" i="1"/>
  <c r="AA82" i="1"/>
  <c r="M114" i="1"/>
  <c r="AE112" i="1"/>
  <c r="AF119" i="1"/>
  <c r="M123" i="1"/>
  <c r="Z151" i="1"/>
  <c r="AB132" i="1"/>
  <c r="M49" i="1"/>
  <c r="I68" i="1"/>
  <c r="C94" i="1"/>
  <c r="AC95" i="1"/>
  <c r="P83" i="1"/>
  <c r="AF76" i="1"/>
  <c r="M157" i="1"/>
  <c r="V147" i="1"/>
  <c r="N109" i="1"/>
  <c r="Y96" i="1"/>
  <c r="I8" i="1"/>
  <c r="W28" i="1"/>
  <c r="AA130" i="1"/>
  <c r="E122" i="1"/>
  <c r="V59" i="1"/>
  <c r="S41" i="1"/>
  <c r="G8" i="1"/>
  <c r="V99" i="1"/>
  <c r="F23" i="1"/>
  <c r="Z128" i="1"/>
  <c r="AH125" i="1"/>
  <c r="J20" i="1"/>
  <c r="S111" i="1"/>
  <c r="D20" i="1"/>
  <c r="AA15" i="1"/>
  <c r="AE118" i="1"/>
  <c r="E11" i="1"/>
  <c r="O31" i="1"/>
  <c r="Z85" i="1"/>
  <c r="AB114" i="1"/>
  <c r="M145" i="1"/>
  <c r="J46" i="1"/>
  <c r="AH103" i="1"/>
  <c r="AI39" i="1"/>
  <c r="G107" i="1"/>
  <c r="L141" i="1"/>
  <c r="S64" i="1"/>
  <c r="AA36" i="1"/>
  <c r="Y105" i="1"/>
  <c r="E149" i="1"/>
  <c r="T105" i="1"/>
  <c r="AB126" i="1"/>
  <c r="C3" i="1"/>
  <c r="S46" i="1"/>
  <c r="S42" i="1"/>
  <c r="E148" i="1"/>
  <c r="U60" i="1"/>
  <c r="W69" i="1"/>
  <c r="F24" i="1"/>
  <c r="N91" i="1"/>
  <c r="AH14" i="1"/>
  <c r="E30" i="1"/>
  <c r="H115" i="1"/>
  <c r="W118" i="1"/>
  <c r="Z126" i="1"/>
  <c r="AB12" i="1"/>
  <c r="V91" i="1"/>
  <c r="Q36" i="1"/>
  <c r="V97" i="1"/>
  <c r="E89" i="1"/>
  <c r="P129" i="1"/>
  <c r="S94" i="1"/>
  <c r="K81" i="1"/>
  <c r="AH158" i="1"/>
  <c r="U56" i="1"/>
  <c r="F29" i="1"/>
  <c r="E97" i="1"/>
  <c r="U19" i="1"/>
  <c r="P155" i="1"/>
  <c r="T129" i="1"/>
  <c r="M130" i="1"/>
  <c r="U25" i="1"/>
  <c r="AI91" i="1"/>
  <c r="I7" i="1"/>
  <c r="AH127" i="1"/>
  <c r="W89" i="1"/>
  <c r="AA21" i="1"/>
  <c r="N39" i="1"/>
  <c r="L152" i="1"/>
  <c r="AH24" i="1"/>
  <c r="AI149" i="1"/>
  <c r="AF148" i="1"/>
  <c r="I66" i="1"/>
  <c r="AA144" i="1"/>
  <c r="K83" i="1"/>
  <c r="AA6" i="1"/>
  <c r="AD135" i="1"/>
  <c r="H77" i="1"/>
  <c r="J95" i="1"/>
  <c r="U52" i="1"/>
  <c r="AA65" i="1"/>
  <c r="T17" i="1"/>
  <c r="X47" i="1"/>
  <c r="U69" i="1"/>
  <c r="AF73" i="1"/>
  <c r="W99" i="1"/>
  <c r="D74" i="1"/>
  <c r="Q157" i="1"/>
  <c r="N23" i="1"/>
  <c r="U135" i="1"/>
  <c r="M86" i="1"/>
  <c r="U93" i="1"/>
  <c r="AG149" i="1"/>
  <c r="T52" i="1"/>
  <c r="D18" i="1"/>
  <c r="V38" i="1"/>
  <c r="Q54" i="1"/>
  <c r="T19" i="1"/>
  <c r="AG38" i="1"/>
  <c r="Q96" i="1"/>
  <c r="Z54" i="1"/>
  <c r="N60" i="1"/>
  <c r="O58" i="1"/>
  <c r="N153" i="1"/>
  <c r="V46" i="1"/>
  <c r="AB23" i="1"/>
  <c r="AI80" i="1"/>
  <c r="AE127" i="1"/>
  <c r="AB84" i="1"/>
  <c r="X31" i="1"/>
  <c r="V130" i="1"/>
  <c r="K50" i="1"/>
  <c r="Q140" i="1"/>
  <c r="G117" i="1"/>
  <c r="F25" i="1"/>
  <c r="J40" i="1"/>
  <c r="U27" i="1"/>
  <c r="K139" i="1"/>
  <c r="I65" i="1"/>
  <c r="S91" i="1"/>
  <c r="H63" i="1"/>
  <c r="V79" i="1"/>
  <c r="AG125" i="1"/>
  <c r="D56" i="1"/>
  <c r="Q11" i="1"/>
  <c r="C36" i="1"/>
  <c r="Z67" i="1"/>
  <c r="S95" i="1"/>
  <c r="Y51" i="1"/>
  <c r="Y113" i="1"/>
  <c r="AC49" i="1"/>
  <c r="Y32" i="1"/>
  <c r="AE72" i="1"/>
  <c r="Y6" i="1"/>
  <c r="W80" i="1"/>
  <c r="G51" i="1"/>
  <c r="K135" i="1"/>
  <c r="Z14" i="1"/>
  <c r="H53" i="1"/>
  <c r="U156" i="1"/>
  <c r="AB136" i="1"/>
  <c r="AE23" i="1"/>
  <c r="T136" i="1"/>
  <c r="M37" i="1"/>
  <c r="G116" i="1"/>
  <c r="D130" i="1"/>
  <c r="D7" i="1"/>
  <c r="R60" i="1"/>
  <c r="L112" i="1"/>
  <c r="R135" i="1"/>
  <c r="AH144" i="1"/>
  <c r="N43" i="1"/>
  <c r="AF108" i="1"/>
  <c r="W46" i="1"/>
  <c r="AE16" i="1"/>
  <c r="O111" i="1"/>
  <c r="D145" i="1"/>
  <c r="AI16" i="1"/>
  <c r="AC47" i="1"/>
  <c r="AG41" i="1"/>
  <c r="L27" i="1"/>
  <c r="Z31" i="1"/>
  <c r="Z84" i="1"/>
  <c r="U65" i="1"/>
  <c r="J113" i="1"/>
  <c r="T18" i="1"/>
  <c r="I34" i="1"/>
  <c r="D100" i="1"/>
  <c r="F120" i="1"/>
  <c r="X27" i="1"/>
  <c r="D116" i="1"/>
  <c r="K150" i="1"/>
  <c r="AH13" i="1"/>
  <c r="J48" i="1"/>
  <c r="R125" i="1"/>
  <c r="D150" i="1"/>
  <c r="F91" i="1"/>
  <c r="AG20" i="1"/>
  <c r="G89" i="1"/>
  <c r="AG139" i="1"/>
  <c r="Z33" i="1"/>
  <c r="R32" i="1"/>
  <c r="AE105" i="1"/>
  <c r="M20" i="1"/>
  <c r="AB109" i="1"/>
  <c r="D3" i="1"/>
  <c r="AC112" i="1"/>
  <c r="AI64" i="1"/>
  <c r="Q104" i="1"/>
  <c r="Z90" i="1"/>
  <c r="C84" i="1"/>
  <c r="L55" i="1"/>
  <c r="AD35" i="1"/>
  <c r="C77" i="1"/>
  <c r="I98" i="1"/>
  <c r="M51" i="1"/>
  <c r="I142" i="1"/>
  <c r="Y53" i="1"/>
  <c r="C98" i="1"/>
  <c r="C148" i="1"/>
  <c r="N111" i="1"/>
  <c r="U54" i="1"/>
  <c r="U84" i="1"/>
  <c r="U17" i="1"/>
  <c r="S47" i="1"/>
  <c r="K113" i="1"/>
  <c r="N71" i="1"/>
  <c r="J73" i="1"/>
  <c r="F111" i="1"/>
  <c r="AF8" i="1"/>
  <c r="T120" i="1"/>
  <c r="J94" i="1"/>
  <c r="AE122" i="1"/>
  <c r="AE132" i="1"/>
  <c r="Y69" i="1"/>
  <c r="E4" i="1"/>
  <c r="AH61" i="1"/>
  <c r="W63" i="1"/>
  <c r="I50" i="1"/>
  <c r="AH97" i="1"/>
  <c r="U66" i="1"/>
  <c r="N144" i="1"/>
  <c r="I48" i="1"/>
  <c r="K27" i="1"/>
  <c r="R30" i="1"/>
  <c r="AF75" i="1"/>
  <c r="R13" i="1"/>
  <c r="E100" i="1"/>
  <c r="G68" i="1"/>
  <c r="T78" i="1"/>
  <c r="U78" i="1"/>
  <c r="O74" i="1"/>
  <c r="AE36" i="1"/>
  <c r="AC138" i="1"/>
  <c r="H140" i="1"/>
  <c r="W149" i="1"/>
  <c r="Q128" i="1"/>
  <c r="X55" i="1"/>
  <c r="G106" i="1"/>
  <c r="N83" i="1"/>
  <c r="H125" i="1"/>
  <c r="R128" i="1"/>
  <c r="AB128" i="1"/>
  <c r="AC34" i="1"/>
  <c r="AI120" i="1"/>
  <c r="N148" i="1"/>
  <c r="M81" i="1"/>
  <c r="Z49" i="1"/>
  <c r="AH90" i="1"/>
  <c r="Z29" i="1"/>
  <c r="U46" i="1"/>
  <c r="AB119" i="1"/>
  <c r="AC14" i="1"/>
  <c r="Q61" i="1"/>
  <c r="V149" i="1"/>
  <c r="AB39" i="1"/>
  <c r="AG89" i="1"/>
  <c r="K149" i="1"/>
  <c r="AE91" i="1"/>
  <c r="Z136" i="1"/>
  <c r="Y150" i="1"/>
  <c r="I60" i="1"/>
  <c r="AF105" i="1"/>
  <c r="AA11" i="1"/>
  <c r="H60" i="1"/>
  <c r="Z138" i="1"/>
  <c r="N100" i="1"/>
  <c r="E132" i="1"/>
  <c r="N114" i="1"/>
  <c r="I40" i="1"/>
  <c r="L155" i="1"/>
  <c r="V32" i="1"/>
  <c r="AD128" i="1"/>
  <c r="AA39" i="1"/>
  <c r="O135" i="1"/>
  <c r="Q119" i="1"/>
  <c r="AD39" i="1"/>
  <c r="O140" i="1"/>
  <c r="AG21" i="1"/>
  <c r="AB26" i="1"/>
  <c r="AG146" i="1"/>
  <c r="Q123" i="1"/>
  <c r="U100" i="1"/>
  <c r="AA20" i="1"/>
  <c r="H49" i="1"/>
  <c r="AC157" i="1"/>
  <c r="X9" i="1"/>
  <c r="L142" i="1"/>
  <c r="W138" i="1"/>
  <c r="AB85" i="1"/>
  <c r="AF23" i="1"/>
  <c r="J83" i="1"/>
  <c r="J89" i="1"/>
  <c r="M104" i="1"/>
  <c r="N108" i="1"/>
  <c r="D134" i="1"/>
  <c r="N128" i="1"/>
  <c r="Y63" i="1"/>
  <c r="O41" i="1"/>
  <c r="O125" i="1"/>
  <c r="C134" i="1"/>
  <c r="P100" i="1"/>
  <c r="AD118" i="1"/>
  <c r="O45" i="1"/>
  <c r="K35" i="1"/>
  <c r="X90" i="1"/>
  <c r="K144" i="1"/>
  <c r="I126" i="1"/>
  <c r="K117" i="1"/>
  <c r="T16" i="1"/>
  <c r="N126" i="1"/>
  <c r="T144" i="1"/>
  <c r="Z81" i="1"/>
  <c r="F58" i="1"/>
  <c r="P62" i="1"/>
  <c r="AA156" i="1"/>
  <c r="D78" i="1"/>
  <c r="W119" i="1"/>
  <c r="Z101" i="1"/>
  <c r="AD62" i="1"/>
  <c r="M75" i="1"/>
  <c r="T29" i="1"/>
  <c r="E32" i="1"/>
  <c r="Q9" i="1"/>
  <c r="AD101" i="1"/>
  <c r="H22" i="1"/>
  <c r="S92" i="1"/>
  <c r="AH73" i="1"/>
  <c r="AG8" i="1"/>
  <c r="O118" i="1"/>
  <c r="K44" i="1"/>
  <c r="V106" i="1"/>
  <c r="J56" i="1"/>
  <c r="Y137" i="1"/>
  <c r="Y90" i="1"/>
  <c r="H67" i="1"/>
  <c r="AC137" i="1"/>
  <c r="C18" i="1"/>
  <c r="L117" i="1"/>
  <c r="AB129" i="1"/>
  <c r="P59" i="1"/>
  <c r="O67" i="1"/>
  <c r="AI23" i="1"/>
  <c r="F79" i="1"/>
  <c r="H145" i="1"/>
  <c r="AI33" i="1"/>
  <c r="C72" i="1"/>
  <c r="E50" i="1"/>
  <c r="T121" i="1"/>
  <c r="AC142" i="1"/>
  <c r="AA35" i="1"/>
  <c r="O50" i="1"/>
  <c r="AD98" i="1"/>
  <c r="AA37" i="1"/>
  <c r="X119" i="1"/>
  <c r="M74" i="1"/>
  <c r="S141" i="1"/>
  <c r="Z113" i="1"/>
  <c r="AE55" i="1"/>
  <c r="W157" i="1"/>
  <c r="F2" i="1"/>
  <c r="O144" i="1"/>
  <c r="H51" i="1"/>
  <c r="G78" i="1"/>
  <c r="AC27" i="1"/>
  <c r="S13" i="1"/>
  <c r="Y99" i="1"/>
  <c r="N41" i="1"/>
  <c r="C32" i="1"/>
  <c r="L14" i="1"/>
  <c r="U18" i="1"/>
  <c r="D64" i="1"/>
  <c r="H15" i="1"/>
  <c r="AF125" i="1"/>
  <c r="AD38" i="1"/>
  <c r="G25" i="1"/>
  <c r="R147" i="1"/>
  <c r="E49" i="1"/>
  <c r="AI17" i="1"/>
  <c r="P121" i="1"/>
  <c r="K56" i="1"/>
  <c r="AG80" i="1"/>
  <c r="M146" i="1"/>
  <c r="W2" i="1"/>
  <c r="AH105" i="1"/>
  <c r="AE10" i="1"/>
  <c r="Z40" i="1"/>
  <c r="S130" i="1"/>
  <c r="R114" i="1"/>
  <c r="AD131" i="1"/>
  <c r="AA9" i="1"/>
  <c r="AE134" i="1"/>
  <c r="G3" i="1"/>
  <c r="AI119" i="1"/>
  <c r="L11" i="1"/>
  <c r="C22" i="1"/>
  <c r="S30" i="1"/>
  <c r="V48" i="1"/>
  <c r="Y111" i="1"/>
  <c r="Q34" i="1"/>
  <c r="J8" i="1"/>
  <c r="AA88" i="1"/>
  <c r="M57" i="1"/>
  <c r="T80" i="1"/>
  <c r="I112" i="1"/>
  <c r="AH6" i="1"/>
  <c r="AC3" i="1"/>
  <c r="V129" i="1"/>
  <c r="F149" i="1"/>
  <c r="N68" i="1"/>
  <c r="Q57" i="1"/>
  <c r="I134" i="1"/>
  <c r="K59" i="1"/>
  <c r="E16" i="1"/>
  <c r="D65" i="1"/>
  <c r="T148" i="1"/>
  <c r="Q108" i="1"/>
  <c r="I155" i="1"/>
  <c r="N6" i="1"/>
  <c r="Z9" i="1"/>
  <c r="AH82" i="1"/>
  <c r="G80" i="1"/>
  <c r="Y57" i="1"/>
  <c r="AI141" i="1"/>
  <c r="X76" i="1"/>
  <c r="AA45" i="1"/>
  <c r="J140" i="1"/>
  <c r="Y130" i="1"/>
  <c r="N26" i="1"/>
  <c r="R99" i="1"/>
  <c r="AG143" i="1"/>
  <c r="Z139" i="1"/>
  <c r="U144" i="1"/>
  <c r="L2" i="1"/>
  <c r="Q142" i="1"/>
  <c r="J114" i="1"/>
  <c r="J137" i="1"/>
  <c r="AB93" i="1"/>
  <c r="Y36" i="1"/>
  <c r="AF80" i="1"/>
  <c r="X19" i="1"/>
  <c r="AB86" i="1"/>
  <c r="D49" i="1"/>
  <c r="M66" i="1"/>
  <c r="H123" i="1"/>
  <c r="Z42" i="1"/>
  <c r="J120" i="1"/>
  <c r="F12" i="1"/>
  <c r="Y52" i="1"/>
  <c r="AE149" i="1"/>
  <c r="AA140" i="1"/>
  <c r="E60" i="1"/>
  <c r="F30" i="1"/>
  <c r="AI143" i="1"/>
  <c r="K111" i="1"/>
  <c r="AE38" i="1"/>
  <c r="J76" i="1"/>
  <c r="Q114" i="1"/>
  <c r="AA72" i="1"/>
  <c r="M52" i="1"/>
  <c r="AC108" i="1"/>
  <c r="V96" i="1"/>
  <c r="C115" i="1"/>
  <c r="AF10" i="1"/>
  <c r="D10" i="1"/>
  <c r="R140" i="1"/>
  <c r="Q121" i="1"/>
  <c r="AA93" i="1"/>
  <c r="AF74" i="1"/>
  <c r="U71" i="1"/>
  <c r="Z58" i="1"/>
  <c r="R90" i="1"/>
  <c r="G52" i="1"/>
  <c r="AC67" i="1"/>
  <c r="X139" i="1"/>
  <c r="K121" i="1"/>
  <c r="P53" i="1"/>
  <c r="Z143" i="1"/>
  <c r="I131" i="1"/>
  <c r="AA92" i="1"/>
  <c r="Z77" i="1"/>
  <c r="F41" i="1"/>
  <c r="N74" i="1"/>
  <c r="Z46" i="1"/>
  <c r="I36" i="1"/>
  <c r="K21" i="1"/>
  <c r="AC110" i="1"/>
  <c r="AA148" i="1"/>
  <c r="U145" i="1"/>
  <c r="AF43" i="1"/>
  <c r="I52" i="1"/>
  <c r="K30" i="1"/>
  <c r="L103" i="1"/>
  <c r="AH41" i="1"/>
  <c r="AE40" i="1"/>
  <c r="L140" i="1"/>
  <c r="J16" i="1"/>
  <c r="AH43" i="1"/>
  <c r="W55" i="1"/>
  <c r="R96" i="1"/>
  <c r="AA84" i="1"/>
  <c r="E29" i="1"/>
  <c r="Z23" i="1"/>
  <c r="AF137" i="1"/>
  <c r="AD67" i="1"/>
  <c r="AH136" i="1"/>
  <c r="AF115" i="1"/>
  <c r="I81" i="1"/>
  <c r="F97" i="1"/>
  <c r="L15" i="1"/>
  <c r="AH131" i="1"/>
  <c r="W108" i="1"/>
  <c r="H5" i="1"/>
  <c r="E45" i="1"/>
  <c r="J154" i="1"/>
  <c r="Y59" i="1"/>
  <c r="AB15" i="1"/>
  <c r="AC7" i="1"/>
  <c r="AD33" i="1"/>
  <c r="AD126" i="1"/>
  <c r="F158" i="1"/>
  <c r="F101" i="1"/>
  <c r="G112" i="1"/>
  <c r="W114" i="1"/>
  <c r="U120" i="1"/>
  <c r="E38" i="1"/>
  <c r="P35" i="1"/>
  <c r="F6" i="1"/>
  <c r="Y102" i="1"/>
  <c r="N146" i="1"/>
  <c r="T143" i="1"/>
  <c r="AD28" i="1"/>
  <c r="I38" i="1"/>
  <c r="V76" i="1"/>
  <c r="L106" i="1"/>
  <c r="C158" i="1"/>
  <c r="P87" i="1"/>
  <c r="AD56" i="1"/>
  <c r="C83" i="1"/>
  <c r="X111" i="1"/>
  <c r="R82" i="1"/>
  <c r="AB151" i="1"/>
  <c r="O119" i="1"/>
  <c r="AG137" i="1"/>
  <c r="AD148" i="1"/>
  <c r="U73" i="1"/>
  <c r="I80" i="1"/>
  <c r="AG90" i="1"/>
  <c r="R153" i="1"/>
  <c r="M137" i="1"/>
  <c r="AD17" i="1"/>
  <c r="M76" i="1"/>
  <c r="J77" i="1"/>
  <c r="G123" i="1"/>
  <c r="W70" i="1"/>
  <c r="H117" i="1"/>
  <c r="D91" i="1"/>
  <c r="O84" i="1"/>
  <c r="AB140" i="1"/>
  <c r="L80" i="1"/>
  <c r="AH20" i="1"/>
  <c r="AH140" i="1"/>
  <c r="AC125" i="1"/>
  <c r="E72" i="1"/>
  <c r="H116" i="1"/>
  <c r="AE101" i="1"/>
  <c r="E94" i="1"/>
  <c r="S126" i="1"/>
  <c r="T109" i="1"/>
  <c r="AI63" i="1"/>
  <c r="M10" i="1"/>
  <c r="AA22" i="1"/>
  <c r="L129" i="1"/>
  <c r="AI151" i="1"/>
  <c r="T76" i="1"/>
  <c r="E17" i="1"/>
  <c r="O17" i="1"/>
  <c r="U13" i="1"/>
  <c r="F54" i="1"/>
  <c r="E155" i="1"/>
  <c r="AG82" i="1"/>
  <c r="L20" i="1"/>
  <c r="AC40" i="1"/>
  <c r="R131" i="1"/>
  <c r="X67" i="1"/>
  <c r="AB55" i="1"/>
  <c r="U31" i="1"/>
  <c r="O157" i="1"/>
  <c r="J115" i="1"/>
  <c r="X62" i="1"/>
  <c r="J9" i="1"/>
  <c r="Q94" i="1"/>
  <c r="AA51" i="1"/>
  <c r="R62" i="1"/>
  <c r="S77" i="1"/>
  <c r="AB145" i="1"/>
  <c r="P18" i="1"/>
  <c r="S19" i="1"/>
  <c r="I56" i="1"/>
  <c r="N5" i="1"/>
  <c r="G108" i="1"/>
  <c r="T119" i="1"/>
  <c r="X46" i="1"/>
  <c r="X15" i="1"/>
  <c r="E87" i="1"/>
  <c r="AD136" i="1"/>
  <c r="AG134" i="1"/>
  <c r="M40" i="1"/>
  <c r="AE142" i="1"/>
  <c r="C124" i="1"/>
  <c r="F134" i="1"/>
  <c r="H48" i="1"/>
  <c r="P9" i="1"/>
  <c r="K95" i="1"/>
  <c r="M107" i="1"/>
  <c r="N65" i="1"/>
  <c r="D106" i="1"/>
  <c r="AF22" i="1"/>
  <c r="Y54" i="1"/>
  <c r="M120" i="1"/>
  <c r="N82" i="1"/>
  <c r="E36" i="1"/>
  <c r="AG74" i="1"/>
  <c r="K71" i="1"/>
  <c r="Q109" i="1"/>
  <c r="E12" i="1"/>
  <c r="I117" i="1"/>
  <c r="R36" i="1"/>
  <c r="E111" i="1"/>
  <c r="AD105" i="1"/>
  <c r="W65" i="1"/>
  <c r="C131" i="1"/>
  <c r="AG64" i="1"/>
  <c r="K118" i="1"/>
  <c r="AE19" i="1"/>
  <c r="AB44" i="1"/>
  <c r="H98" i="1"/>
  <c r="AH85" i="1"/>
  <c r="AG113" i="1"/>
  <c r="W60" i="1"/>
  <c r="AG66" i="1"/>
  <c r="T13" i="1"/>
  <c r="AG68" i="1"/>
  <c r="X8" i="1"/>
  <c r="W151" i="1"/>
  <c r="X86" i="1"/>
  <c r="T12" i="1"/>
  <c r="V54" i="1"/>
  <c r="V142" i="1"/>
  <c r="AD57" i="1"/>
  <c r="AF142" i="1"/>
  <c r="X42" i="1"/>
  <c r="V11" i="1"/>
  <c r="E135" i="1"/>
  <c r="Q60" i="1"/>
  <c r="E63" i="1"/>
  <c r="D88" i="1"/>
  <c r="AE45" i="1"/>
  <c r="N46" i="1"/>
  <c r="F89" i="1"/>
  <c r="AG97" i="1"/>
  <c r="C17" i="1"/>
  <c r="AD125" i="1"/>
  <c r="F140" i="1"/>
  <c r="Y151" i="1"/>
  <c r="K142" i="1"/>
  <c r="R145" i="1"/>
  <c r="L47" i="1"/>
  <c r="I27" i="1"/>
  <c r="K15" i="1"/>
  <c r="AE9" i="1"/>
  <c r="AG108" i="1"/>
  <c r="J87" i="1"/>
  <c r="S53" i="1"/>
  <c r="J23" i="1"/>
  <c r="AH150" i="1"/>
  <c r="AE113" i="1"/>
  <c r="P79" i="1"/>
  <c r="C152" i="1"/>
  <c r="E77" i="1"/>
  <c r="AB47" i="1"/>
  <c r="AB35" i="1"/>
  <c r="N13" i="1"/>
  <c r="J45" i="1"/>
  <c r="P120" i="1"/>
  <c r="V88" i="1"/>
  <c r="W64" i="1"/>
  <c r="O124" i="1"/>
  <c r="O120" i="1"/>
  <c r="H127" i="1"/>
  <c r="AC28" i="1"/>
  <c r="Q26" i="1"/>
  <c r="AI61" i="1"/>
  <c r="D60" i="1"/>
  <c r="S125" i="1"/>
  <c r="V121" i="1"/>
  <c r="R156" i="1"/>
  <c r="P6" i="1"/>
  <c r="AG132" i="1"/>
  <c r="AD108" i="1"/>
  <c r="Z8" i="1"/>
  <c r="X36" i="1"/>
  <c r="U43" i="1"/>
  <c r="I158" i="1"/>
  <c r="E104" i="1"/>
  <c r="S88" i="1"/>
  <c r="S78" i="1"/>
  <c r="Q115" i="1"/>
  <c r="AF67" i="1"/>
  <c r="L25" i="1"/>
  <c r="AB20" i="1"/>
  <c r="N49" i="1"/>
  <c r="F42" i="1"/>
  <c r="Y28" i="1"/>
  <c r="C44" i="1"/>
  <c r="D12" i="1"/>
  <c r="G65" i="1"/>
  <c r="AG104" i="1"/>
  <c r="P70" i="1"/>
  <c r="AI48" i="1"/>
  <c r="H92" i="1"/>
  <c r="J139" i="1"/>
  <c r="S20" i="1"/>
  <c r="O97" i="1"/>
  <c r="Q149" i="1"/>
  <c r="I93" i="1"/>
  <c r="V33" i="1"/>
  <c r="Q90" i="1"/>
  <c r="T134" i="1"/>
  <c r="AG31" i="1"/>
  <c r="AC127" i="1"/>
  <c r="AF34" i="1"/>
  <c r="AD22" i="1"/>
  <c r="V23" i="1"/>
  <c r="J133" i="1"/>
  <c r="N40" i="1"/>
  <c r="AI60" i="1"/>
  <c r="Q74" i="1"/>
  <c r="L60" i="1"/>
  <c r="AB56" i="1"/>
  <c r="C71" i="1"/>
  <c r="M13" i="1"/>
  <c r="H25" i="1"/>
  <c r="W90" i="1"/>
  <c r="J117" i="1"/>
  <c r="AH142" i="1"/>
  <c r="W129" i="1"/>
  <c r="H80" i="1"/>
  <c r="S24" i="1"/>
  <c r="T38" i="1"/>
  <c r="M34" i="1"/>
  <c r="Q70" i="1"/>
  <c r="AA143" i="1"/>
  <c r="V152" i="1"/>
  <c r="AF96" i="1"/>
  <c r="M38" i="1"/>
  <c r="O99" i="1"/>
  <c r="C75" i="1"/>
  <c r="Y141" i="1"/>
  <c r="F65" i="1"/>
  <c r="P132" i="1"/>
  <c r="AE139" i="1"/>
  <c r="H74" i="1"/>
  <c r="AF57" i="1"/>
  <c r="W33" i="1"/>
  <c r="G22" i="1"/>
  <c r="AA91" i="1"/>
  <c r="P114" i="1"/>
  <c r="Q38" i="1"/>
  <c r="AA154" i="1"/>
  <c r="AG27" i="1"/>
  <c r="K60" i="1"/>
  <c r="D89" i="1"/>
  <c r="AB96" i="1"/>
  <c r="G66" i="1"/>
  <c r="Z11" i="1"/>
  <c r="E44" i="1"/>
  <c r="O3" i="1"/>
  <c r="AC90" i="1"/>
  <c r="P143" i="1"/>
  <c r="M53" i="1"/>
  <c r="AB64" i="1"/>
  <c r="AD70" i="1"/>
  <c r="K110" i="1"/>
  <c r="AC64" i="1"/>
  <c r="O16" i="1"/>
  <c r="I22" i="1"/>
  <c r="P102" i="1"/>
  <c r="AD13" i="1"/>
  <c r="H81" i="1"/>
  <c r="F18" i="1"/>
  <c r="AI5" i="1"/>
  <c r="G27" i="1"/>
  <c r="E123" i="1"/>
  <c r="F123" i="1"/>
  <c r="G95" i="1"/>
  <c r="R158" i="1"/>
  <c r="N154" i="1"/>
  <c r="N17" i="1"/>
  <c r="AA8" i="1"/>
  <c r="S102" i="1"/>
  <c r="L105" i="1"/>
  <c r="P149" i="1"/>
  <c r="G88" i="1"/>
  <c r="AA3" i="1"/>
  <c r="AA132" i="1"/>
  <c r="AF31" i="1"/>
  <c r="X26" i="1"/>
  <c r="AB152" i="1"/>
  <c r="I148" i="1"/>
  <c r="AB99" i="1"/>
  <c r="X29" i="1"/>
  <c r="P44" i="1"/>
  <c r="AB33" i="1"/>
  <c r="AF95" i="1"/>
  <c r="W10" i="1"/>
  <c r="K153" i="1"/>
  <c r="AE4" i="1"/>
  <c r="Y27" i="1"/>
  <c r="AC60" i="1"/>
  <c r="R61" i="1"/>
  <c r="AI38" i="1"/>
  <c r="J69" i="1"/>
  <c r="R118" i="1"/>
  <c r="G41" i="1"/>
  <c r="AF138" i="1"/>
  <c r="U104" i="1"/>
  <c r="D115" i="1"/>
  <c r="M105" i="1"/>
  <c r="E20" i="1"/>
  <c r="AF110" i="1"/>
  <c r="W8" i="1"/>
  <c r="AH106" i="1"/>
  <c r="F154" i="1"/>
  <c r="N7" i="1"/>
  <c r="Q150" i="1"/>
  <c r="Q87" i="1"/>
  <c r="U38" i="1"/>
  <c r="AI88" i="1"/>
  <c r="F8" i="1"/>
  <c r="AI41" i="1"/>
  <c r="O18" i="1"/>
  <c r="M103" i="1"/>
  <c r="AH119" i="1"/>
  <c r="D139" i="1"/>
  <c r="AB149" i="1"/>
  <c r="G149" i="1"/>
  <c r="C34" i="1"/>
  <c r="X51" i="1"/>
  <c r="H142" i="1"/>
  <c r="AH145" i="1"/>
  <c r="AI82" i="1"/>
  <c r="K13" i="1"/>
  <c r="X108" i="1"/>
  <c r="X158" i="1"/>
  <c r="AA23" i="1"/>
  <c r="AA138" i="1"/>
  <c r="N3" i="1"/>
  <c r="AI139" i="1"/>
  <c r="T47" i="1"/>
  <c r="C49" i="1"/>
  <c r="F28" i="1"/>
  <c r="E15" i="1"/>
  <c r="C105" i="1"/>
  <c r="M41" i="1"/>
  <c r="S15" i="1"/>
  <c r="V19" i="1"/>
  <c r="O145" i="1"/>
  <c r="C138" i="1"/>
  <c r="S134" i="1"/>
  <c r="R137" i="1"/>
  <c r="N116" i="1"/>
  <c r="AC12" i="1"/>
  <c r="Z16" i="1"/>
  <c r="AG59" i="1"/>
  <c r="X87" i="1"/>
  <c r="Y12" i="1"/>
  <c r="X82" i="1"/>
  <c r="C29" i="1"/>
  <c r="Q51" i="1"/>
  <c r="G48" i="1"/>
  <c r="O139" i="1"/>
  <c r="S45" i="1"/>
  <c r="AH37" i="1"/>
  <c r="G23" i="1"/>
  <c r="AF122" i="1"/>
  <c r="AG99" i="1"/>
  <c r="J55" i="1"/>
  <c r="C86" i="1"/>
  <c r="AG43" i="1"/>
  <c r="K55" i="1"/>
  <c r="F155" i="1"/>
  <c r="K92" i="1"/>
  <c r="AD90" i="1"/>
  <c r="AG86" i="1"/>
  <c r="R19" i="1"/>
  <c r="J85" i="1"/>
  <c r="N81" i="1"/>
  <c r="T73" i="1"/>
  <c r="M128" i="1"/>
  <c r="U44" i="1"/>
  <c r="G122" i="1"/>
  <c r="O11" i="1"/>
  <c r="W127" i="1"/>
  <c r="L18" i="1"/>
  <c r="E105" i="1"/>
  <c r="L149" i="1"/>
  <c r="AI31" i="1"/>
  <c r="K29" i="1"/>
  <c r="S114" i="1"/>
  <c r="X113" i="1"/>
  <c r="H20" i="1"/>
  <c r="V153" i="1"/>
  <c r="AG110" i="1"/>
  <c r="D62" i="1"/>
  <c r="M87" i="1"/>
  <c r="J74" i="1"/>
  <c r="S131" i="1"/>
  <c r="U134" i="1"/>
  <c r="AH75" i="1"/>
  <c r="H93" i="1"/>
  <c r="M12" i="1"/>
  <c r="L52" i="1"/>
  <c r="T27" i="1"/>
  <c r="N9" i="1"/>
  <c r="C106" i="1"/>
  <c r="R55" i="1"/>
  <c r="H155" i="1"/>
  <c r="AD151" i="1"/>
  <c r="AB66" i="1"/>
  <c r="Z72" i="1"/>
  <c r="L74" i="1"/>
  <c r="L90" i="1"/>
  <c r="AD111" i="1"/>
  <c r="M22" i="1"/>
  <c r="W133" i="1"/>
  <c r="N119" i="1"/>
  <c r="AB139" i="1"/>
  <c r="U113" i="1"/>
  <c r="J15" i="1"/>
  <c r="AC91" i="1"/>
  <c r="AA69" i="1"/>
  <c r="AE119" i="1"/>
  <c r="L24" i="1"/>
  <c r="AF87" i="1"/>
  <c r="E33" i="1"/>
  <c r="K24" i="1"/>
  <c r="V105" i="1"/>
  <c r="U61" i="1"/>
  <c r="K68" i="1"/>
  <c r="Q4" i="1"/>
  <c r="P116" i="1"/>
  <c r="K154" i="1"/>
  <c r="AH141" i="1"/>
  <c r="AH86" i="1"/>
  <c r="J86" i="1"/>
  <c r="AI25" i="1"/>
  <c r="X114" i="1"/>
  <c r="W31" i="1"/>
  <c r="N25" i="1"/>
  <c r="G85" i="1"/>
  <c r="P133" i="1"/>
  <c r="N80" i="1"/>
  <c r="AD152" i="1"/>
  <c r="AD142" i="1"/>
  <c r="I55" i="1"/>
  <c r="V61" i="1"/>
  <c r="AC115" i="1"/>
  <c r="AD73" i="1"/>
  <c r="C93" i="1"/>
  <c r="AG39" i="1"/>
  <c r="E109" i="1"/>
  <c r="N44" i="1"/>
  <c r="V77" i="1"/>
  <c r="AH52" i="1"/>
  <c r="AC23" i="1"/>
  <c r="AE58" i="1"/>
  <c r="S144" i="1"/>
  <c r="AE86" i="1"/>
  <c r="V21" i="1"/>
  <c r="H126" i="1"/>
  <c r="X112" i="1"/>
  <c r="AB59" i="1"/>
  <c r="O96" i="1"/>
  <c r="T46" i="1"/>
  <c r="P10" i="1"/>
  <c r="Q107" i="1"/>
  <c r="O122" i="1"/>
  <c r="H138" i="1"/>
  <c r="S135" i="1"/>
  <c r="E79" i="1"/>
  <c r="AF151" i="1"/>
  <c r="I76" i="1"/>
  <c r="S154" i="1"/>
  <c r="P119" i="1"/>
  <c r="K37" i="1"/>
  <c r="AA129" i="1"/>
  <c r="AC113" i="1"/>
  <c r="V138" i="1"/>
  <c r="U40" i="1"/>
  <c r="J84" i="1"/>
  <c r="AB73" i="1"/>
  <c r="AH23" i="1"/>
  <c r="V42" i="1"/>
  <c r="Q3" i="1"/>
  <c r="O37" i="1"/>
  <c r="U80" i="1"/>
  <c r="AD66" i="1"/>
  <c r="M135" i="1"/>
  <c r="AF71" i="1"/>
  <c r="Y37" i="1"/>
  <c r="N155" i="1"/>
  <c r="J78" i="1"/>
  <c r="AB106" i="1"/>
  <c r="R18" i="1"/>
  <c r="S128" i="1"/>
  <c r="Q33" i="1"/>
  <c r="P91" i="1"/>
  <c r="AA105" i="1"/>
  <c r="F147" i="1"/>
  <c r="G24" i="1"/>
  <c r="D52" i="1"/>
  <c r="W57" i="1"/>
  <c r="L84" i="1"/>
  <c r="W56" i="1"/>
  <c r="H124" i="1"/>
  <c r="AD88" i="1"/>
  <c r="J57" i="1"/>
  <c r="N88" i="1"/>
  <c r="M84" i="1"/>
  <c r="AH71" i="1"/>
  <c r="AB3" i="1"/>
  <c r="P14" i="1"/>
  <c r="X7" i="1"/>
  <c r="AC22" i="1"/>
  <c r="R59" i="1"/>
  <c r="AE56" i="1"/>
  <c r="Q14" i="1"/>
  <c r="I136" i="1"/>
  <c r="Q25" i="1"/>
  <c r="V116" i="1"/>
  <c r="C16" i="1"/>
  <c r="AD117" i="1"/>
  <c r="AC130" i="1"/>
  <c r="S37" i="1"/>
  <c r="AH35" i="1"/>
  <c r="AH16" i="1"/>
  <c r="AG106" i="1"/>
  <c r="X134" i="1"/>
  <c r="C151" i="1"/>
  <c r="I105" i="1"/>
  <c r="Y106" i="1"/>
  <c r="J51" i="1"/>
  <c r="AI22" i="1"/>
  <c r="AF129" i="1"/>
  <c r="W134" i="1"/>
  <c r="AA146" i="1"/>
  <c r="V70" i="1"/>
  <c r="O89" i="1"/>
  <c r="K128" i="1"/>
  <c r="E55" i="1"/>
  <c r="I119" i="1"/>
  <c r="M102" i="1"/>
  <c r="O149" i="1"/>
  <c r="P3" i="1"/>
  <c r="T15" i="1"/>
  <c r="K78" i="1"/>
  <c r="V31" i="1"/>
  <c r="T53" i="1"/>
  <c r="G43" i="1"/>
  <c r="AH95" i="1"/>
  <c r="AE100" i="1"/>
  <c r="AC69" i="1"/>
  <c r="U82" i="1"/>
  <c r="P73" i="1"/>
  <c r="G155" i="1"/>
  <c r="Z155" i="1"/>
  <c r="T82" i="1"/>
  <c r="O39" i="1"/>
  <c r="T107" i="1"/>
  <c r="H27" i="1"/>
  <c r="K134" i="1"/>
  <c r="V18" i="1"/>
  <c r="AC52" i="1"/>
  <c r="E69" i="1"/>
  <c r="P153" i="1"/>
  <c r="Z117" i="1"/>
  <c r="L95" i="1"/>
  <c r="AB141" i="1"/>
  <c r="P156" i="1"/>
  <c r="AI133" i="1"/>
  <c r="Y73" i="1"/>
  <c r="U88" i="1"/>
  <c r="Z133" i="1"/>
  <c r="T94" i="1"/>
  <c r="Y48" i="1"/>
  <c r="AF132" i="1"/>
  <c r="F115" i="1"/>
  <c r="H141" i="1"/>
  <c r="E150" i="1"/>
  <c r="AB91" i="1"/>
  <c r="AC56" i="1"/>
  <c r="M141" i="1"/>
  <c r="U12" i="1"/>
  <c r="H144" i="1"/>
  <c r="AG147" i="1"/>
  <c r="AF154" i="1"/>
  <c r="F80" i="1"/>
  <c r="M43" i="1"/>
  <c r="V102" i="1"/>
  <c r="Z93" i="1"/>
  <c r="C58" i="1"/>
  <c r="T20" i="1"/>
  <c r="L148" i="1"/>
  <c r="N92" i="1"/>
  <c r="AE120" i="1"/>
  <c r="I45" i="1"/>
  <c r="I53" i="1"/>
  <c r="F102" i="1"/>
  <c r="C67" i="1"/>
  <c r="L75" i="1"/>
  <c r="I14" i="1"/>
  <c r="C9" i="1"/>
  <c r="S84" i="1"/>
  <c r="E18" i="1"/>
  <c r="AB138" i="1"/>
  <c r="V89" i="1"/>
  <c r="G90" i="1"/>
  <c r="I46" i="1"/>
  <c r="R107" i="1"/>
  <c r="K155" i="1"/>
  <c r="O4" i="1"/>
  <c r="T118" i="1"/>
  <c r="G47" i="1"/>
  <c r="AG92" i="1"/>
  <c r="AD72" i="1"/>
  <c r="AH154" i="1"/>
  <c r="U5" i="1"/>
  <c r="X77" i="1"/>
  <c r="U133" i="1"/>
  <c r="AF135" i="1"/>
  <c r="Y34" i="1"/>
  <c r="M147" i="1"/>
  <c r="I70" i="1"/>
  <c r="P74" i="1"/>
  <c r="AH157" i="1"/>
  <c r="H17" i="1"/>
  <c r="N113" i="1"/>
  <c r="S116" i="1"/>
  <c r="AD146" i="1"/>
  <c r="M151" i="1"/>
  <c r="AG107" i="1"/>
  <c r="AA50" i="1"/>
  <c r="U24" i="1"/>
  <c r="F94" i="1"/>
  <c r="U42" i="1"/>
  <c r="O123" i="1"/>
  <c r="AH134" i="1"/>
  <c r="H82" i="1"/>
  <c r="F36" i="1"/>
  <c r="T34" i="1"/>
  <c r="AI51" i="1"/>
  <c r="X30" i="1"/>
  <c r="AA131" i="1"/>
  <c r="AB6" i="1"/>
  <c r="O40" i="1"/>
  <c r="E93" i="1"/>
  <c r="C127" i="1"/>
  <c r="O130" i="1"/>
  <c r="Z41" i="1"/>
  <c r="AI92" i="1"/>
  <c r="AA5" i="1"/>
  <c r="L59" i="1"/>
  <c r="W51" i="1"/>
  <c r="W154" i="1"/>
  <c r="J147" i="1"/>
  <c r="X80" i="1"/>
  <c r="C57" i="1"/>
  <c r="G49" i="1"/>
  <c r="H46" i="1"/>
  <c r="U23" i="1"/>
  <c r="Z134" i="1"/>
  <c r="O102" i="1"/>
  <c r="I42" i="1"/>
  <c r="W153" i="1"/>
  <c r="T97" i="1"/>
  <c r="D21" i="1"/>
  <c r="Z74" i="1"/>
  <c r="AC16" i="1"/>
  <c r="Q29" i="1"/>
  <c r="T145" i="1"/>
  <c r="AD77" i="1"/>
  <c r="N75" i="1"/>
  <c r="AC124" i="1"/>
  <c r="N21" i="1"/>
  <c r="AG17" i="1"/>
  <c r="S31" i="1"/>
  <c r="AB102" i="1"/>
  <c r="C54" i="1"/>
  <c r="V151" i="1"/>
  <c r="E39" i="1"/>
  <c r="AA157" i="1"/>
  <c r="P37" i="1"/>
  <c r="AE129" i="1"/>
  <c r="K130" i="1"/>
  <c r="AH137" i="1"/>
  <c r="AE146" i="1"/>
  <c r="E81" i="1"/>
  <c r="L120" i="1"/>
  <c r="I32" i="1"/>
  <c r="AA125" i="1"/>
  <c r="H8" i="1"/>
  <c r="Q153" i="1"/>
  <c r="U6" i="1"/>
  <c r="Z95" i="1"/>
  <c r="M148" i="1"/>
  <c r="AD68" i="1"/>
  <c r="T126" i="1"/>
  <c r="S28" i="1"/>
  <c r="P40" i="1"/>
  <c r="E107" i="1"/>
  <c r="X41" i="1"/>
  <c r="AD134" i="1"/>
  <c r="AF38" i="1"/>
  <c r="K5" i="1"/>
  <c r="AG12" i="1"/>
  <c r="W47" i="1"/>
  <c r="M152" i="1"/>
  <c r="AF11" i="1"/>
  <c r="Y31" i="1"/>
  <c r="L153" i="1"/>
  <c r="Z107" i="1"/>
  <c r="F108" i="1"/>
  <c r="R117" i="1"/>
  <c r="I29" i="1"/>
  <c r="R123" i="1"/>
  <c r="AC133" i="1"/>
  <c r="AE90" i="1"/>
  <c r="H101" i="1"/>
  <c r="P52" i="1"/>
  <c r="AD95" i="1"/>
  <c r="O28" i="1"/>
  <c r="AH124" i="1"/>
  <c r="AD150" i="1"/>
  <c r="AF118" i="1"/>
  <c r="P4" i="1"/>
  <c r="O65" i="1"/>
  <c r="V109" i="1"/>
  <c r="T147" i="1"/>
  <c r="O114" i="1"/>
  <c r="O109" i="1"/>
  <c r="E116" i="1"/>
  <c r="N141" i="1"/>
  <c r="V36" i="1"/>
  <c r="I91" i="1"/>
  <c r="U49" i="1"/>
  <c r="AG77" i="1"/>
  <c r="D155" i="1"/>
  <c r="K115" i="1"/>
  <c r="D85" i="1"/>
  <c r="AF32" i="1"/>
  <c r="X63" i="1"/>
  <c r="D128" i="1"/>
  <c r="AB18" i="1"/>
  <c r="AD103" i="1"/>
  <c r="AB57" i="1"/>
  <c r="L89" i="1"/>
  <c r="Z91" i="1"/>
  <c r="AI35" i="1"/>
  <c r="T110" i="1"/>
  <c r="Q13" i="1"/>
  <c r="AB92" i="1"/>
  <c r="W20" i="1"/>
  <c r="G36" i="1"/>
  <c r="AD85" i="1"/>
  <c r="AC105" i="1"/>
  <c r="I140" i="1"/>
  <c r="L34" i="1"/>
  <c r="AE42" i="1"/>
  <c r="L41" i="1"/>
  <c r="AE131" i="1"/>
  <c r="T90" i="1"/>
  <c r="L57" i="1"/>
  <c r="I31" i="1"/>
  <c r="H108" i="1"/>
  <c r="AA77" i="1"/>
  <c r="Z125" i="1"/>
  <c r="S137" i="1"/>
  <c r="L56" i="1"/>
  <c r="S26" i="1"/>
  <c r="AD137" i="1"/>
  <c r="AA18" i="1"/>
  <c r="D13" i="1"/>
  <c r="T43" i="1"/>
  <c r="M80" i="1"/>
  <c r="AA89" i="1"/>
  <c r="G9" i="1"/>
  <c r="AE18" i="1"/>
  <c r="R67" i="1"/>
  <c r="C7" i="1"/>
  <c r="S38" i="1"/>
  <c r="AE128" i="1"/>
  <c r="G113" i="1"/>
  <c r="X156" i="1"/>
  <c r="Y88" i="1"/>
  <c r="N45" i="1"/>
  <c r="W45" i="1"/>
  <c r="P16" i="1"/>
  <c r="F48" i="1"/>
  <c r="Q66" i="1"/>
  <c r="H16" i="1"/>
  <c r="T87" i="1"/>
  <c r="R75" i="1"/>
  <c r="I144" i="1"/>
  <c r="AI85" i="1"/>
  <c r="W113" i="1"/>
  <c r="AE130" i="1"/>
  <c r="AD97" i="1"/>
  <c r="AE68" i="1"/>
  <c r="AG69" i="1"/>
  <c r="J158" i="1"/>
  <c r="AC50" i="1"/>
  <c r="O52" i="1"/>
  <c r="AB158" i="1"/>
  <c r="AA71" i="1"/>
  <c r="F109" i="1"/>
  <c r="H148" i="1"/>
  <c r="P68" i="1"/>
  <c r="Y126" i="1"/>
  <c r="V133" i="1"/>
  <c r="P104" i="1"/>
  <c r="X138" i="1"/>
  <c r="W27" i="1"/>
  <c r="N61" i="1"/>
  <c r="P126" i="1"/>
  <c r="Q21" i="1"/>
  <c r="T36" i="1"/>
  <c r="T22" i="1"/>
  <c r="AH104" i="1"/>
  <c r="M97" i="1"/>
  <c r="AA14" i="1"/>
  <c r="X107" i="1"/>
  <c r="L71" i="1"/>
  <c r="I127" i="1"/>
  <c r="AG67" i="1"/>
  <c r="Y13" i="1"/>
  <c r="J35" i="1"/>
  <c r="AA52" i="1"/>
  <c r="L26" i="1"/>
  <c r="J25" i="1"/>
  <c r="H109" i="1"/>
  <c r="AH31" i="1"/>
  <c r="K67" i="1"/>
  <c r="C103" i="1"/>
  <c r="AC73" i="1"/>
  <c r="P85" i="1"/>
  <c r="W116" i="1"/>
  <c r="AC132" i="1"/>
  <c r="AI108" i="1"/>
  <c r="Q76" i="1"/>
  <c r="F146" i="1"/>
  <c r="C60" i="1"/>
  <c r="M92" i="1"/>
  <c r="V128" i="1"/>
  <c r="U67" i="1"/>
  <c r="AF63" i="1"/>
  <c r="W84" i="1"/>
  <c r="AD79" i="1"/>
  <c r="S6" i="1"/>
  <c r="AA59" i="1"/>
  <c r="AD40" i="1"/>
  <c r="AG44" i="1"/>
  <c r="AI124" i="1"/>
  <c r="K9" i="1"/>
  <c r="Q7" i="1"/>
  <c r="T58" i="1"/>
  <c r="L19" i="1"/>
  <c r="I138" i="1"/>
  <c r="AB41" i="1"/>
  <c r="X137" i="1"/>
  <c r="AI138" i="1"/>
  <c r="AI77" i="1"/>
  <c r="AF78" i="1"/>
  <c r="T98" i="1"/>
  <c r="K102" i="1"/>
  <c r="G70" i="1"/>
  <c r="U32" i="1"/>
  <c r="M42" i="1"/>
  <c r="P72" i="1"/>
  <c r="AA19" i="1"/>
  <c r="W13" i="1"/>
  <c r="K87" i="1"/>
  <c r="E61" i="1"/>
  <c r="T11" i="1"/>
  <c r="AI52" i="1"/>
  <c r="AG72" i="1"/>
  <c r="Z154" i="1"/>
  <c r="L8" i="1"/>
  <c r="H105" i="1"/>
  <c r="J14" i="1"/>
  <c r="C63" i="1"/>
  <c r="V150" i="1"/>
  <c r="L143" i="1"/>
  <c r="H45" i="1"/>
  <c r="H10" i="1"/>
  <c r="T69" i="1"/>
  <c r="AH111" i="1"/>
  <c r="AI74" i="1"/>
  <c r="V112" i="1"/>
  <c r="H96" i="1"/>
  <c r="Q100" i="1"/>
  <c r="T54" i="1"/>
  <c r="V69" i="1"/>
  <c r="AG24" i="1"/>
  <c r="W147" i="1"/>
  <c r="Z108" i="1"/>
  <c r="O104" i="1"/>
  <c r="K8" i="1"/>
  <c r="F81" i="1"/>
  <c r="D35" i="1"/>
  <c r="O51" i="1"/>
  <c r="Q31" i="1"/>
  <c r="AI140" i="1"/>
  <c r="AC87" i="1"/>
  <c r="S82" i="1"/>
  <c r="L88" i="1"/>
  <c r="Y24" i="1"/>
  <c r="D19" i="1"/>
  <c r="Y100" i="1"/>
  <c r="I71" i="1"/>
  <c r="N30" i="1"/>
  <c r="Z105" i="1"/>
  <c r="R42" i="1"/>
  <c r="N67" i="1"/>
  <c r="S68" i="1"/>
  <c r="Y146" i="1"/>
  <c r="AB48" i="1"/>
  <c r="V29" i="1"/>
  <c r="U74" i="1"/>
  <c r="M50" i="1"/>
  <c r="J149" i="1"/>
  <c r="M46" i="1"/>
  <c r="D98" i="1"/>
  <c r="J97" i="1"/>
  <c r="R109" i="1"/>
  <c r="K91" i="1"/>
  <c r="AG98" i="1"/>
  <c r="AG88" i="1"/>
  <c r="AC122" i="1"/>
  <c r="AF158" i="1"/>
  <c r="W92" i="1"/>
  <c r="E99" i="1"/>
  <c r="X12" i="1"/>
  <c r="U136" i="1"/>
  <c r="W143" i="1"/>
  <c r="AC70" i="1"/>
  <c r="R45" i="1"/>
  <c r="AF121" i="1"/>
  <c r="G77" i="1"/>
  <c r="U98" i="1"/>
  <c r="J13" i="1"/>
  <c r="W107" i="1"/>
  <c r="H14" i="1"/>
  <c r="AF28" i="1"/>
  <c r="Z19" i="1"/>
  <c r="G31" i="1"/>
  <c r="P76" i="1"/>
  <c r="Y83" i="1"/>
  <c r="X106" i="1"/>
  <c r="G15" i="1"/>
  <c r="J31" i="1"/>
  <c r="K54" i="1"/>
  <c r="AG61" i="1"/>
  <c r="E48" i="1"/>
  <c r="D48" i="1"/>
  <c r="S139" i="1"/>
  <c r="AF126" i="1"/>
  <c r="R104" i="1"/>
  <c r="V135" i="1"/>
  <c r="AA80" i="1"/>
  <c r="X140" i="1"/>
  <c r="X35" i="1"/>
  <c r="G21" i="1"/>
  <c r="P26" i="1"/>
  <c r="AD41" i="1"/>
  <c r="AC21" i="1"/>
  <c r="AG46" i="1"/>
  <c r="E46" i="1"/>
  <c r="W5" i="1"/>
  <c r="J153" i="1"/>
  <c r="AE47" i="1"/>
  <c r="E47" i="1"/>
  <c r="I129" i="1"/>
  <c r="D87" i="1"/>
  <c r="T124" i="1"/>
  <c r="O56" i="1"/>
  <c r="C43" i="1"/>
  <c r="AH39" i="1"/>
  <c r="H97" i="1"/>
  <c r="I25" i="1"/>
  <c r="F82" i="1"/>
  <c r="U28" i="1"/>
  <c r="AC143" i="1"/>
  <c r="AB34" i="1"/>
  <c r="C55" i="1"/>
  <c r="O100" i="1"/>
  <c r="M90" i="1"/>
  <c r="H11" i="1"/>
  <c r="E136" i="1"/>
  <c r="R28" i="1"/>
  <c r="AC93" i="1"/>
  <c r="G7" i="1"/>
  <c r="P136" i="1"/>
  <c r="I114" i="1"/>
  <c r="F20" i="1"/>
  <c r="F55" i="1"/>
  <c r="S107" i="1"/>
  <c r="D4" i="1"/>
  <c r="AF70" i="1"/>
  <c r="S158" i="1"/>
  <c r="C89" i="1"/>
  <c r="H139" i="1"/>
  <c r="J152" i="1"/>
  <c r="S104" i="1"/>
  <c r="Y127" i="1"/>
  <c r="AH149" i="1"/>
  <c r="AE71" i="1"/>
  <c r="U119" i="1"/>
  <c r="AG35" i="1"/>
  <c r="AF44" i="1"/>
  <c r="R79" i="1"/>
  <c r="G4" i="1"/>
  <c r="AF155" i="1"/>
  <c r="P81" i="1"/>
  <c r="AA115" i="1"/>
  <c r="AG100" i="1"/>
  <c r="T153" i="1"/>
  <c r="I116" i="1"/>
  <c r="X118" i="1"/>
  <c r="R16" i="1"/>
  <c r="AH115" i="1"/>
  <c r="D29" i="1"/>
  <c r="F157" i="1"/>
  <c r="S27" i="1"/>
  <c r="E142" i="1"/>
  <c r="AC109" i="1"/>
  <c r="X104" i="1"/>
  <c r="D121" i="1"/>
  <c r="AC46" i="1"/>
  <c r="Q125" i="1"/>
  <c r="F118" i="1"/>
  <c r="O148" i="1"/>
  <c r="X145" i="1"/>
  <c r="F33" i="1"/>
  <c r="M101" i="1"/>
  <c r="G58" i="1"/>
  <c r="L39" i="1"/>
  <c r="S118" i="1"/>
  <c r="AI137" i="1"/>
  <c r="N115" i="1"/>
  <c r="E154" i="1"/>
  <c r="G76" i="1"/>
  <c r="AC8" i="1"/>
  <c r="K3" i="1"/>
  <c r="I30" i="1"/>
  <c r="R9" i="1"/>
  <c r="C41" i="1"/>
  <c r="J70" i="1"/>
  <c r="W103" i="1"/>
  <c r="L65" i="1"/>
  <c r="N86" i="1"/>
  <c r="AC29" i="1"/>
  <c r="W16" i="1"/>
  <c r="I113" i="1"/>
  <c r="S76" i="1"/>
  <c r="K65" i="1"/>
  <c r="AF89" i="1"/>
  <c r="N14" i="1"/>
  <c r="W136" i="1"/>
  <c r="S83" i="1"/>
  <c r="M59" i="1"/>
  <c r="H57" i="1"/>
  <c r="Q85" i="1"/>
  <c r="E146" i="1"/>
  <c r="AB50" i="1"/>
  <c r="AD93" i="1"/>
  <c r="X105" i="1"/>
  <c r="Q129" i="1"/>
  <c r="AI154" i="1"/>
  <c r="R10" i="1"/>
  <c r="T74" i="1"/>
  <c r="W132" i="1"/>
  <c r="Z57" i="1"/>
  <c r="P92" i="1"/>
  <c r="AA12" i="1"/>
  <c r="AH27" i="1"/>
  <c r="T41" i="1"/>
  <c r="Z110" i="1"/>
  <c r="Q102" i="1"/>
  <c r="H157" i="1"/>
  <c r="L12" i="1"/>
  <c r="U127" i="1"/>
  <c r="U20" i="1"/>
  <c r="AC20" i="1"/>
  <c r="AB7" i="1"/>
  <c r="P109" i="1"/>
  <c r="O92" i="1"/>
  <c r="AB124" i="1"/>
  <c r="AC116" i="1"/>
  <c r="T24" i="1"/>
  <c r="J136" i="1"/>
  <c r="S87" i="1"/>
  <c r="AE39" i="1"/>
  <c r="AC18" i="1"/>
  <c r="J157" i="1"/>
  <c r="AE60" i="1"/>
  <c r="G40" i="1"/>
  <c r="V43" i="1"/>
  <c r="L109" i="1"/>
  <c r="Q16" i="1"/>
  <c r="Q143" i="1"/>
  <c r="T7" i="1"/>
  <c r="AG63" i="1"/>
  <c r="H28" i="1"/>
  <c r="H32" i="1"/>
  <c r="P103" i="1"/>
  <c r="AH92" i="1"/>
  <c r="Z135" i="1"/>
</calcChain>
</file>

<file path=xl/sharedStrings.xml><?xml version="1.0" encoding="utf-8"?>
<sst xmlns="http://schemas.openxmlformats.org/spreadsheetml/2006/main" count="159" uniqueCount="159">
  <si>
    <t>序号</t>
  </si>
  <si>
    <t>期限(年)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</si>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</sst>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###,###,##0.0000"/>
  </numFmts>
  <fonts count="9">
    <font>
      <sz val="11"/>
      <name val="Calibri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宋体"/>
      <family val="3"/>
      <charset val="134"/>
    </font>
    <font>
      <b/>
      <sz val="10"/>
      <color rgb="FF000000"/>
      <name val="Arial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7">
    <border>
      <left/>
      <right/>
      <top/>
      <bottom/>
      <diagonal/>
    </border>
    <border>
      <left/>
      <right style="dotted">
        <color rgb="FFDFDFDF"/>
      </right>
      <top style="dotted">
        <color rgb="FFDFDFDF"/>
      </top>
      <bottom/>
      <diagonal/>
    </border>
    <border>
      <left/>
      <right style="dotted">
        <color rgb="FFDFDFDF"/>
      </right>
      <top style="dotted">
        <color rgb="FFDFDFDF"/>
      </top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3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/>
    </xf>
    <xf numFmtId="176" fontId="6" fillId="5" borderId="6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77" fontId="4" fillId="0" borderId="4" xfId="0" applyNumberFormat="1" applyFont="1" applyBorder="1" applyAlignment="1">
      <alignment horizontal="right" vertical="center"/>
    </xf>
    <xf numFmtId="14" fontId="8" fillId="3" borderId="2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b_calc_curve_chinabo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8"/>
  <sheetViews>
    <sheetView tabSelected="1" topLeftCell="X1" workbookViewId="0">
      <selection activeCell="AH14" sqref="AH14"/>
    </sheetView>
  </sheetViews>
  <sheetFormatPr defaultRowHeight="14.5"/>
  <cols>
    <col min="1" max="1" width="8.81640625" customWidth="1"/>
    <col min="2" max="7" width="12.81640625" customWidth="1"/>
    <col min="8" max="16" width="10.36328125" bestFit="1" customWidth="1"/>
    <col min="17" max="25" width="9.36328125" bestFit="1" customWidth="1"/>
    <col min="26" max="35" width="10.36328125" bestFit="1" customWidth="1"/>
  </cols>
  <sheetData>
    <row r="1" spans="1:35" ht="19.5" customHeight="1">
      <c r="A1" s="5" t="s">
        <v>0</v>
      </c>
      <c r="B1" s="6" t="s">
        <v>1</v>
      </c>
      <c r="C1" s="8">
        <f ca="1">TODAY()-32</f>
        <v>46163</v>
      </c>
      <c r="D1" s="8">
        <f ca="1">TODAY()-31</f>
        <v>46164</v>
      </c>
      <c r="E1" s="8">
        <f ca="1">TODAY()-30</f>
        <v>46165</v>
      </c>
      <c r="F1" s="8">
        <f ca="1">TODAY()-29</f>
        <v>46166</v>
      </c>
      <c r="G1" s="8">
        <f ca="1">TODAY()-28</f>
        <v>46167</v>
      </c>
      <c r="H1" s="8">
        <f ca="1">TODAY()-27</f>
        <v>46168</v>
      </c>
      <c r="I1" s="8">
        <f ca="1">TODAY()-26</f>
        <v>46169</v>
      </c>
      <c r="J1" s="8">
        <f ca="1">TODAY()-25</f>
        <v>46170</v>
      </c>
      <c r="K1" s="8">
        <f ca="1">TODAY()-24</f>
        <v>46171</v>
      </c>
      <c r="L1" s="8">
        <f ca="1">TODAY()-23</f>
        <v>46172</v>
      </c>
      <c r="M1" s="8">
        <f ca="1">TODAY()-22</f>
        <v>46173</v>
      </c>
      <c r="N1" s="8">
        <f ca="1">TODAY()-21</f>
        <v>46174</v>
      </c>
      <c r="O1" s="8">
        <f ca="1">TODAY()-20</f>
        <v>46175</v>
      </c>
      <c r="P1" s="8">
        <f ca="1">TODAY()-19</f>
        <v>46176</v>
      </c>
      <c r="Q1" s="8">
        <f ca="1">TODAY()-18</f>
        <v>46177</v>
      </c>
      <c r="R1" s="8">
        <f ca="1">TODAY()-17</f>
        <v>46178</v>
      </c>
      <c r="S1" s="8">
        <f ca="1">TODAY()-16</f>
        <v>46179</v>
      </c>
      <c r="T1" s="8">
        <f ca="1">TODAY()-15</f>
        <v>46180</v>
      </c>
      <c r="U1" s="8">
        <f ca="1">TODAY()-14</f>
        <v>46181</v>
      </c>
      <c r="V1" s="8">
        <f ca="1">TODAY()-13</f>
        <v>46182</v>
      </c>
      <c r="W1" s="8">
        <f ca="1">TODAY()-12</f>
        <v>46183</v>
      </c>
      <c r="X1" s="8">
        <f ca="1">TODAY()-11</f>
        <v>46184</v>
      </c>
      <c r="Y1" s="8">
        <f ca="1">TODAY()-10</f>
        <v>46185</v>
      </c>
      <c r="Z1" s="8">
        <f ca="1">TODAY()-9</f>
        <v>46186</v>
      </c>
      <c r="AA1" s="8">
        <f ca="1">TODAY()-8</f>
        <v>46187</v>
      </c>
      <c r="AB1" s="8">
        <f ca="1">TODAY()-7</f>
        <v>46188</v>
      </c>
      <c r="AC1" s="8">
        <f ca="1">TODAY()-6</f>
        <v>46189</v>
      </c>
      <c r="AD1" s="8">
        <f ca="1">TODAY()-5</f>
        <v>46190</v>
      </c>
      <c r="AE1" s="8">
        <f ca="1">TODAY()-4</f>
        <v>46191</v>
      </c>
      <c r="AF1" s="8">
        <f ca="1">TODAY()-3</f>
        <v>46192</v>
      </c>
      <c r="AG1" s="8">
        <f ca="1">TODAY()-2</f>
        <v>46193</v>
      </c>
      <c r="AH1" s="8">
        <f ca="1">TODAY()-1</f>
        <v>46194</v>
      </c>
      <c r="AI1" s="8">
        <f ca="1">TODAY()</f>
        <v>46195</v>
      </c>
    </row>
    <row r="2" spans="1:35" ht="19.5" customHeight="1">
      <c r="A2" s="1" t="s">
        <v>2</v>
      </c>
      <c r="B2" s="2">
        <v>0</v>
      </c>
      <c r="C2" s="7">
        <f ca="1">[1]!b_calc_curve_chinabond("1082",C$1,$B2)</f>
        <v>1.3885000000000001</v>
      </c>
      <c r="D2" s="7">
        <f ca="1">[1]!b_calc_curve_chinabond("1082",D$1,$B2)</f>
        <v>1.3754</v>
      </c>
      <c r="E2" s="7">
        <f ca="1">[1]!b_calc_curve_chinabond("1082",E$1,$B2)</f>
        <v>0</v>
      </c>
      <c r="F2" s="7">
        <f ca="1">[1]!b_calc_curve_chinabond("1082",F$1,$B2)</f>
        <v>0</v>
      </c>
      <c r="G2" s="7">
        <f ca="1">[1]!b_calc_curve_chinabond("1082",G$1,$B2)</f>
        <v>1.3765000000000001</v>
      </c>
      <c r="H2" s="7">
        <f ca="1">[1]!b_calc_curve_chinabond("1082",H$1,$B2)</f>
        <v>1.3726</v>
      </c>
      <c r="I2" s="7">
        <f ca="1">[1]!b_calc_curve_chinabond("1082",I$1,$B2)</f>
        <v>1.3926000000000001</v>
      </c>
      <c r="J2" s="7">
        <f ca="1">[1]!b_calc_curve_chinabond("1082",J$1,$B2)</f>
        <v>1.3931</v>
      </c>
      <c r="K2" s="7">
        <f ca="1">[1]!b_calc_curve_chinabond("1082",K$1,$B2)</f>
        <v>1.3826000000000001</v>
      </c>
      <c r="L2" s="7">
        <f ca="1">[1]!b_calc_curve_chinabond("1082",L$1,$B2)</f>
        <v>0</v>
      </c>
      <c r="M2" s="7">
        <f ca="1">[1]!b_calc_curve_chinabond("1082",M$1,$B2)</f>
        <v>0</v>
      </c>
      <c r="N2" s="7">
        <f ca="1">[1]!b_calc_curve_chinabond("1082",N$1,$B2)</f>
        <v>1.3826000000000001</v>
      </c>
      <c r="O2" s="7">
        <f ca="1">[1]!b_calc_curve_chinabond("1082",O$1,$B2)</f>
        <v>1.3575999999999999</v>
      </c>
      <c r="P2" s="7">
        <f ca="1">[1]!b_calc_curve_chinabond("1082",P$1,$B2)</f>
        <v>1.3575999999999999</v>
      </c>
      <c r="Q2" s="7">
        <f ca="1">[1]!b_calc_curve_chinabond("1082",Q$1,$B2)</f>
        <v>1.3527</v>
      </c>
      <c r="R2" s="7">
        <f ca="1">[1]!b_calc_curve_chinabond("1082",R$1,$B2)</f>
        <v>1.41</v>
      </c>
      <c r="S2" s="7">
        <f ca="1">[1]!b_calc_curve_chinabond("1082",S$1,$B2)</f>
        <v>0</v>
      </c>
      <c r="T2" s="7">
        <f ca="1">[1]!b_calc_curve_chinabond("1082",T$1,$B2)</f>
        <v>0</v>
      </c>
      <c r="U2" s="7">
        <f ca="1">[1]!b_calc_curve_chinabond("1082",U$1,$B2)</f>
        <v>1.42</v>
      </c>
      <c r="V2" s="7">
        <f ca="1">[1]!b_calc_curve_chinabond("1082",V$1,$B2)</f>
        <v>1.42</v>
      </c>
      <c r="W2" s="7">
        <f ca="1">[1]!b_calc_curve_chinabond("1082",W$1,$B2)</f>
        <v>1.4174</v>
      </c>
      <c r="X2" s="7">
        <f ca="1">[1]!b_calc_curve_chinabond("1082",X$1,$B2)</f>
        <v>1.4323999999999999</v>
      </c>
      <c r="Y2" s="7">
        <f ca="1">[1]!b_calc_curve_chinabond("1082",Y$1,$B2)</f>
        <v>1.4623999999999999</v>
      </c>
      <c r="Z2" s="7">
        <f ca="1">[1]!b_calc_curve_chinabond("1082",Z$1,$B2)</f>
        <v>0</v>
      </c>
      <c r="AA2" s="7">
        <f ca="1">[1]!b_calc_curve_chinabond("1082",AA$1,$B2)</f>
        <v>0</v>
      </c>
      <c r="AB2" s="7">
        <f ca="1">[1]!b_calc_curve_chinabond("1082",AB$1,$B2)</f>
        <v>1.5</v>
      </c>
      <c r="AC2" s="7">
        <f ca="1">[1]!b_calc_curve_chinabond("1082",AC$1,$B2)</f>
        <v>1.5</v>
      </c>
      <c r="AD2" s="7">
        <f ca="1">[1]!b_calc_curve_chinabond("1082",AD$1,$B2)</f>
        <v>1.52</v>
      </c>
      <c r="AE2" s="7">
        <f ca="1">[1]!b_calc_curve_chinabond("1082",AE$1,$B2)</f>
        <v>1.52</v>
      </c>
      <c r="AF2" s="7">
        <f ca="1">[1]!b_calc_curve_chinabond("1082",AF$1,$B2)</f>
        <v>0</v>
      </c>
      <c r="AG2" s="7">
        <f ca="1">[1]!b_calc_curve_chinabond("1082",AG$1,$B2)</f>
        <v>0</v>
      </c>
      <c r="AH2" s="7">
        <f ca="1">[1]!b_calc_curve_chinabond("1082",AH$1,$B2)</f>
        <v>0</v>
      </c>
      <c r="AI2" s="7">
        <f ca="1">[1]!b_calc_curve_chinabond("1082",AI$1,$B2)</f>
        <v>0</v>
      </c>
    </row>
    <row r="3" spans="1:35" ht="19.5" customHeight="1">
      <c r="A3" s="3" t="s">
        <v>3</v>
      </c>
      <c r="B3" s="4">
        <v>0.02</v>
      </c>
      <c r="C3" s="7">
        <f ca="1">[1]!b_calc_curve_chinabond("1082",C$1,$B3)</f>
        <v>1.3919999999999999</v>
      </c>
      <c r="D3" s="7">
        <f ca="1">[1]!b_calc_curve_chinabond("1082",D$1,$B3)</f>
        <v>1.3828</v>
      </c>
      <c r="E3" s="7">
        <f ca="1">[1]!b_calc_curve_chinabond("1082",E$1,$B3)</f>
        <v>0</v>
      </c>
      <c r="F3" s="7">
        <f ca="1">[1]!b_calc_curve_chinabond("1082",F$1,$B3)</f>
        <v>0</v>
      </c>
      <c r="G3" s="7">
        <f ca="1">[1]!b_calc_curve_chinabond("1082",G$1,$B3)</f>
        <v>1.3838999999999999</v>
      </c>
      <c r="H3" s="7">
        <f ca="1">[1]!b_calc_curve_chinabond("1082",H$1,$B3)</f>
        <v>1.38</v>
      </c>
      <c r="I3" s="7">
        <f ca="1">[1]!b_calc_curve_chinabond("1082",I$1,$B3)</f>
        <v>1.4</v>
      </c>
      <c r="J3" s="7">
        <f ca="1">[1]!b_calc_curve_chinabond("1082",J$1,$B3)</f>
        <v>1.4005000000000001</v>
      </c>
      <c r="K3" s="7">
        <f ca="1">[1]!b_calc_curve_chinabond("1082",K$1,$B3)</f>
        <v>1.39</v>
      </c>
      <c r="L3" s="7">
        <f ca="1">[1]!b_calc_curve_chinabond("1082",L$1,$B3)</f>
        <v>0</v>
      </c>
      <c r="M3" s="7">
        <f ca="1">[1]!b_calc_curve_chinabond("1082",M$1,$B3)</f>
        <v>0</v>
      </c>
      <c r="N3" s="7">
        <f ca="1">[1]!b_calc_curve_chinabond("1082",N$1,$B3)</f>
        <v>1.405</v>
      </c>
      <c r="O3" s="7">
        <f ca="1">[1]!b_calc_curve_chinabond("1082",O$1,$B3)</f>
        <v>1.38</v>
      </c>
      <c r="P3" s="7">
        <f ca="1">[1]!b_calc_curve_chinabond("1082",P$1,$B3)</f>
        <v>1.4198999999999999</v>
      </c>
      <c r="Q3" s="7">
        <f ca="1">[1]!b_calc_curve_chinabond("1082",Q$1,$B3)</f>
        <v>1.415</v>
      </c>
      <c r="R3" s="7">
        <f ca="1">[1]!b_calc_curve_chinabond("1082",R$1,$B3)</f>
        <v>1.41</v>
      </c>
      <c r="S3" s="7">
        <f ca="1">[1]!b_calc_curve_chinabond("1082",S$1,$B3)</f>
        <v>0</v>
      </c>
      <c r="T3" s="7">
        <f ca="1">[1]!b_calc_curve_chinabond("1082",T$1,$B3)</f>
        <v>0</v>
      </c>
      <c r="U3" s="7">
        <f ca="1">[1]!b_calc_curve_chinabond("1082",U$1,$B3)</f>
        <v>1.42</v>
      </c>
      <c r="V3" s="7">
        <f ca="1">[1]!b_calc_curve_chinabond("1082",V$1,$B3)</f>
        <v>1.4350000000000001</v>
      </c>
      <c r="W3" s="7">
        <f ca="1">[1]!b_calc_curve_chinabond("1082",W$1,$B3)</f>
        <v>1.4323999999999999</v>
      </c>
      <c r="X3" s="7">
        <f ca="1">[1]!b_calc_curve_chinabond("1082",X$1,$B3)</f>
        <v>1.47</v>
      </c>
      <c r="Y3" s="7">
        <f ca="1">[1]!b_calc_curve_chinabond("1082",Y$1,$B3)</f>
        <v>1.5</v>
      </c>
      <c r="Z3" s="7">
        <f ca="1">[1]!b_calc_curve_chinabond("1082",Z$1,$B3)</f>
        <v>0</v>
      </c>
      <c r="AA3" s="7">
        <f ca="1">[1]!b_calc_curve_chinabond("1082",AA$1,$B3)</f>
        <v>0</v>
      </c>
      <c r="AB3" s="7">
        <f ca="1">[1]!b_calc_curve_chinabond("1082",AB$1,$B3)</f>
        <v>1.5</v>
      </c>
      <c r="AC3" s="7">
        <f ca="1">[1]!b_calc_curve_chinabond("1082",AC$1,$B3)</f>
        <v>1.5</v>
      </c>
      <c r="AD3" s="7">
        <f ca="1">[1]!b_calc_curve_chinabond("1082",AD$1,$B3)</f>
        <v>1.52</v>
      </c>
      <c r="AE3" s="7">
        <f ca="1">[1]!b_calc_curve_chinabond("1082",AE$1,$B3)</f>
        <v>1.52</v>
      </c>
      <c r="AF3" s="7">
        <f ca="1">[1]!b_calc_curve_chinabond("1082",AF$1,$B3)</f>
        <v>0</v>
      </c>
      <c r="AG3" s="7">
        <f ca="1">[1]!b_calc_curve_chinabond("1082",AG$1,$B3)</f>
        <v>0</v>
      </c>
      <c r="AH3" s="7">
        <f ca="1">[1]!b_calc_curve_chinabond("1082",AH$1,$B3)</f>
        <v>0</v>
      </c>
      <c r="AI3" s="7">
        <f ca="1">[1]!b_calc_curve_chinabond("1082",AI$1,$B3)</f>
        <v>0</v>
      </c>
    </row>
    <row r="4" spans="1:35" ht="19.5" customHeight="1">
      <c r="A4" s="1" t="s">
        <v>4</v>
      </c>
      <c r="B4" s="2">
        <v>0.04</v>
      </c>
      <c r="C4" s="7">
        <f ca="1">[1]!b_calc_curve_chinabond("1082",C$1,$B4)</f>
        <v>1.4107000000000001</v>
      </c>
      <c r="D4" s="7">
        <f ca="1">[1]!b_calc_curve_chinabond("1082",D$1,$B4)</f>
        <v>1.3949</v>
      </c>
      <c r="E4" s="7">
        <f ca="1">[1]!b_calc_curve_chinabond("1082",E$1,$B4)</f>
        <v>0</v>
      </c>
      <c r="F4" s="7">
        <f ca="1">[1]!b_calc_curve_chinabond("1082",F$1,$B4)</f>
        <v>0</v>
      </c>
      <c r="G4" s="7">
        <f ca="1">[1]!b_calc_curve_chinabond("1082",G$1,$B4)</f>
        <v>1.3980999999999999</v>
      </c>
      <c r="H4" s="7">
        <f ca="1">[1]!b_calc_curve_chinabond("1082",H$1,$B4)</f>
        <v>1.38</v>
      </c>
      <c r="I4" s="7">
        <f ca="1">[1]!b_calc_curve_chinabond("1082",I$1,$B4)</f>
        <v>1.4</v>
      </c>
      <c r="J4" s="7">
        <f ca="1">[1]!b_calc_curve_chinabond("1082",J$1,$B4)</f>
        <v>1.4005000000000001</v>
      </c>
      <c r="K4" s="7">
        <f ca="1">[1]!b_calc_curve_chinabond("1082",K$1,$B4)</f>
        <v>1.3977999999999999</v>
      </c>
      <c r="L4" s="7">
        <f ca="1">[1]!b_calc_curve_chinabond("1082",L$1,$B4)</f>
        <v>0</v>
      </c>
      <c r="M4" s="7">
        <f ca="1">[1]!b_calc_curve_chinabond("1082",M$1,$B4)</f>
        <v>0</v>
      </c>
      <c r="N4" s="7">
        <f ca="1">[1]!b_calc_curve_chinabond("1082",N$1,$B4)</f>
        <v>1.4086000000000001</v>
      </c>
      <c r="O4" s="7">
        <f ca="1">[1]!b_calc_curve_chinabond("1082",O$1,$B4)</f>
        <v>1.399</v>
      </c>
      <c r="P4" s="7">
        <f ca="1">[1]!b_calc_curve_chinabond("1082",P$1,$B4)</f>
        <v>1.4145000000000001</v>
      </c>
      <c r="Q4" s="7">
        <f ca="1">[1]!b_calc_curve_chinabond("1082",Q$1,$B4)</f>
        <v>1.415</v>
      </c>
      <c r="R4" s="7">
        <f ca="1">[1]!b_calc_curve_chinabond("1082",R$1,$B4)</f>
        <v>1.41</v>
      </c>
      <c r="S4" s="7">
        <f ca="1">[1]!b_calc_curve_chinabond("1082",S$1,$B4)</f>
        <v>0</v>
      </c>
      <c r="T4" s="7">
        <f ca="1">[1]!b_calc_curve_chinabond("1082",T$1,$B4)</f>
        <v>0</v>
      </c>
      <c r="U4" s="7">
        <f ca="1">[1]!b_calc_curve_chinabond("1082",U$1,$B4)</f>
        <v>1.42</v>
      </c>
      <c r="V4" s="7">
        <f ca="1">[1]!b_calc_curve_chinabond("1082",V$1,$B4)</f>
        <v>1.45</v>
      </c>
      <c r="W4" s="7">
        <f ca="1">[1]!b_calc_curve_chinabond("1082",W$1,$B4)</f>
        <v>1.45</v>
      </c>
      <c r="X4" s="7">
        <f ca="1">[1]!b_calc_curve_chinabond("1082",X$1,$B4)</f>
        <v>1.47</v>
      </c>
      <c r="Y4" s="7">
        <f ca="1">[1]!b_calc_curve_chinabond("1082",Y$1,$B4)</f>
        <v>1.5</v>
      </c>
      <c r="Z4" s="7">
        <f ca="1">[1]!b_calc_curve_chinabond("1082",Z$1,$B4)</f>
        <v>0</v>
      </c>
      <c r="AA4" s="7">
        <f ca="1">[1]!b_calc_curve_chinabond("1082",AA$1,$B4)</f>
        <v>0</v>
      </c>
      <c r="AB4" s="7">
        <f ca="1">[1]!b_calc_curve_chinabond("1082",AB$1,$B4)</f>
        <v>1.5</v>
      </c>
      <c r="AC4" s="7">
        <f ca="1">[1]!b_calc_curve_chinabond("1082",AC$1,$B4)</f>
        <v>1.5</v>
      </c>
      <c r="AD4" s="7">
        <f ca="1">[1]!b_calc_curve_chinabond("1082",AD$1,$B4)</f>
        <v>1.5</v>
      </c>
      <c r="AE4" s="7">
        <f ca="1">[1]!b_calc_curve_chinabond("1082",AE$1,$B4)</f>
        <v>1.52</v>
      </c>
      <c r="AF4" s="7">
        <f ca="1">[1]!b_calc_curve_chinabond("1082",AF$1,$B4)</f>
        <v>0</v>
      </c>
      <c r="AG4" s="7">
        <f ca="1">[1]!b_calc_curve_chinabond("1082",AG$1,$B4)</f>
        <v>0</v>
      </c>
      <c r="AH4" s="7">
        <f ca="1">[1]!b_calc_curve_chinabond("1082",AH$1,$B4)</f>
        <v>0</v>
      </c>
      <c r="AI4" s="7">
        <f ca="1">[1]!b_calc_curve_chinabond("1082",AI$1,$B4)</f>
        <v>0</v>
      </c>
    </row>
    <row r="5" spans="1:35" ht="19.5" customHeight="1">
      <c r="A5" s="3" t="s">
        <v>5</v>
      </c>
      <c r="B5" s="4">
        <v>0.08</v>
      </c>
      <c r="C5" s="7">
        <f ca="1">[1]!b_calc_curve_chinabond("1082",C$1,$B5)</f>
        <v>1.42</v>
      </c>
      <c r="D5" s="7">
        <f ca="1">[1]!b_calc_curve_chinabond("1082",D$1,$B5)</f>
        <v>1.42</v>
      </c>
      <c r="E5" s="7">
        <f ca="1">[1]!b_calc_curve_chinabond("1082",E$1,$B5)</f>
        <v>0</v>
      </c>
      <c r="F5" s="7">
        <f ca="1">[1]!b_calc_curve_chinabond("1082",F$1,$B5)</f>
        <v>0</v>
      </c>
      <c r="G5" s="7">
        <f ca="1">[1]!b_calc_curve_chinabond("1082",G$1,$B5)</f>
        <v>1.42</v>
      </c>
      <c r="H5" s="7">
        <f ca="1">[1]!b_calc_curve_chinabond("1082",H$1,$B5)</f>
        <v>1.4023000000000001</v>
      </c>
      <c r="I5" s="7">
        <f ca="1">[1]!b_calc_curve_chinabond("1082",I$1,$B5)</f>
        <v>1.4104000000000001</v>
      </c>
      <c r="J5" s="7">
        <f ca="1">[1]!b_calc_curve_chinabond("1082",J$1,$B5)</f>
        <v>1.4108000000000001</v>
      </c>
      <c r="K5" s="7">
        <f ca="1">[1]!b_calc_curve_chinabond("1082",K$1,$B5)</f>
        <v>1.4004000000000001</v>
      </c>
      <c r="L5" s="7">
        <f ca="1">[1]!b_calc_curve_chinabond("1082",L$1,$B5)</f>
        <v>0</v>
      </c>
      <c r="M5" s="7">
        <f ca="1">[1]!b_calc_curve_chinabond("1082",M$1,$B5)</f>
        <v>0</v>
      </c>
      <c r="N5" s="7">
        <f ca="1">[1]!b_calc_curve_chinabond("1082",N$1,$B5)</f>
        <v>1.4098999999999999</v>
      </c>
      <c r="O5" s="7">
        <f ca="1">[1]!b_calc_curve_chinabond("1082",O$1,$B5)</f>
        <v>1.4156</v>
      </c>
      <c r="P5" s="7">
        <f ca="1">[1]!b_calc_curve_chinabond("1082",P$1,$B5)</f>
        <v>1.4225000000000001</v>
      </c>
      <c r="Q5" s="7">
        <f ca="1">[1]!b_calc_curve_chinabond("1082",Q$1,$B5)</f>
        <v>1.4255</v>
      </c>
      <c r="R5" s="7">
        <f ca="1">[1]!b_calc_curve_chinabond("1082",R$1,$B5)</f>
        <v>1.4271</v>
      </c>
      <c r="S5" s="7">
        <f ca="1">[1]!b_calc_curve_chinabond("1082",S$1,$B5)</f>
        <v>0</v>
      </c>
      <c r="T5" s="7">
        <f ca="1">[1]!b_calc_curve_chinabond("1082",T$1,$B5)</f>
        <v>0</v>
      </c>
      <c r="U5" s="7">
        <f ca="1">[1]!b_calc_curve_chinabond("1082",U$1,$B5)</f>
        <v>1.4302999999999999</v>
      </c>
      <c r="V5" s="7">
        <f ca="1">[1]!b_calc_curve_chinabond("1082",V$1,$B5)</f>
        <v>1.45</v>
      </c>
      <c r="W5" s="7">
        <f ca="1">[1]!b_calc_curve_chinabond("1082",W$1,$B5)</f>
        <v>1.4543999999999999</v>
      </c>
      <c r="X5" s="7">
        <f ca="1">[1]!b_calc_curve_chinabond("1082",X$1,$B5)</f>
        <v>1.4723999999999999</v>
      </c>
      <c r="Y5" s="7">
        <f ca="1">[1]!b_calc_curve_chinabond("1082",Y$1,$B5)</f>
        <v>1.5</v>
      </c>
      <c r="Z5" s="7">
        <f ca="1">[1]!b_calc_curve_chinabond("1082",Z$1,$B5)</f>
        <v>0</v>
      </c>
      <c r="AA5" s="7">
        <f ca="1">[1]!b_calc_curve_chinabond("1082",AA$1,$B5)</f>
        <v>0</v>
      </c>
      <c r="AB5" s="7">
        <f ca="1">[1]!b_calc_curve_chinabond("1082",AB$1,$B5)</f>
        <v>1.5</v>
      </c>
      <c r="AC5" s="7">
        <f ca="1">[1]!b_calc_curve_chinabond("1082",AC$1,$B5)</f>
        <v>1.5</v>
      </c>
      <c r="AD5" s="7">
        <f ca="1">[1]!b_calc_curve_chinabond("1082",AD$1,$B5)</f>
        <v>1.5</v>
      </c>
      <c r="AE5" s="7">
        <f ca="1">[1]!b_calc_curve_chinabond("1082",AE$1,$B5)</f>
        <v>1.52</v>
      </c>
      <c r="AF5" s="7">
        <f ca="1">[1]!b_calc_curve_chinabond("1082",AF$1,$B5)</f>
        <v>0</v>
      </c>
      <c r="AG5" s="7">
        <f ca="1">[1]!b_calc_curve_chinabond("1082",AG$1,$B5)</f>
        <v>0</v>
      </c>
      <c r="AH5" s="7">
        <f ca="1">[1]!b_calc_curve_chinabond("1082",AH$1,$B5)</f>
        <v>0</v>
      </c>
      <c r="AI5" s="7">
        <f ca="1">[1]!b_calc_curve_chinabond("1082",AI$1,$B5)</f>
        <v>0</v>
      </c>
    </row>
    <row r="6" spans="1:35" ht="19.5" customHeight="1">
      <c r="A6" s="1" t="s">
        <v>6</v>
      </c>
      <c r="B6" s="2">
        <v>0.1</v>
      </c>
      <c r="C6" s="7">
        <f ca="1">[1]!b_calc_curve_chinabond("1082",C$1,$B6)</f>
        <v>1.4224000000000001</v>
      </c>
      <c r="D6" s="7">
        <f ca="1">[1]!b_calc_curve_chinabond("1082",D$1,$B6)</f>
        <v>1.4248000000000001</v>
      </c>
      <c r="E6" s="7">
        <f ca="1">[1]!b_calc_curve_chinabond("1082",E$1,$B6)</f>
        <v>0</v>
      </c>
      <c r="F6" s="7">
        <f ca="1">[1]!b_calc_curve_chinabond("1082",F$1,$B6)</f>
        <v>0</v>
      </c>
      <c r="G6" s="7">
        <f ca="1">[1]!b_calc_curve_chinabond("1082",G$1,$B6)</f>
        <v>1.42</v>
      </c>
      <c r="H6" s="7">
        <f ca="1">[1]!b_calc_curve_chinabond("1082",H$1,$B6)</f>
        <v>1.4105000000000001</v>
      </c>
      <c r="I6" s="7">
        <f ca="1">[1]!b_calc_curve_chinabond("1082",I$1,$B6)</f>
        <v>1.4149</v>
      </c>
      <c r="J6" s="7">
        <f ca="1">[1]!b_calc_curve_chinabond("1082",J$1,$B6)</f>
        <v>1.4147000000000001</v>
      </c>
      <c r="K6" s="7">
        <f ca="1">[1]!b_calc_curve_chinabond("1082",K$1,$B6)</f>
        <v>1.4025000000000001</v>
      </c>
      <c r="L6" s="7">
        <f ca="1">[1]!b_calc_curve_chinabond("1082",L$1,$B6)</f>
        <v>0</v>
      </c>
      <c r="M6" s="7">
        <f ca="1">[1]!b_calc_curve_chinabond("1082",M$1,$B6)</f>
        <v>0</v>
      </c>
      <c r="N6" s="7">
        <f ca="1">[1]!b_calc_curve_chinabond("1082",N$1,$B6)</f>
        <v>1.4109</v>
      </c>
      <c r="O6" s="7">
        <f ca="1">[1]!b_calc_curve_chinabond("1082",O$1,$B6)</f>
        <v>1.4205000000000001</v>
      </c>
      <c r="P6" s="7">
        <f ca="1">[1]!b_calc_curve_chinabond("1082",P$1,$B6)</f>
        <v>1.4238</v>
      </c>
      <c r="Q6" s="7">
        <f ca="1">[1]!b_calc_curve_chinabond("1082",Q$1,$B6)</f>
        <v>1.4274</v>
      </c>
      <c r="R6" s="7">
        <f ca="1">[1]!b_calc_curve_chinabond("1082",R$1,$B6)</f>
        <v>1.4285000000000001</v>
      </c>
      <c r="S6" s="7">
        <f ca="1">[1]!b_calc_curve_chinabond("1082",S$1,$B6)</f>
        <v>0</v>
      </c>
      <c r="T6" s="7">
        <f ca="1">[1]!b_calc_curve_chinabond("1082",T$1,$B6)</f>
        <v>0</v>
      </c>
      <c r="U6" s="7">
        <f ca="1">[1]!b_calc_curve_chinabond("1082",U$1,$B6)</f>
        <v>1.4336</v>
      </c>
      <c r="V6" s="7">
        <f ca="1">[1]!b_calc_curve_chinabond("1082",V$1,$B6)</f>
        <v>1.45</v>
      </c>
      <c r="W6" s="7">
        <f ca="1">[1]!b_calc_curve_chinabond("1082",W$1,$B6)</f>
        <v>1.4551000000000001</v>
      </c>
      <c r="X6" s="7">
        <f ca="1">[1]!b_calc_curve_chinabond("1082",X$1,$B6)</f>
        <v>1.4737</v>
      </c>
      <c r="Y6" s="7">
        <f ca="1">[1]!b_calc_curve_chinabond("1082",Y$1,$B6)</f>
        <v>1.5009999999999999</v>
      </c>
      <c r="Z6" s="7">
        <f ca="1">[1]!b_calc_curve_chinabond("1082",Z$1,$B6)</f>
        <v>0</v>
      </c>
      <c r="AA6" s="7">
        <f ca="1">[1]!b_calc_curve_chinabond("1082",AA$1,$B6)</f>
        <v>0</v>
      </c>
      <c r="AB6" s="7">
        <f ca="1">[1]!b_calc_curve_chinabond("1082",AB$1,$B6)</f>
        <v>1.5</v>
      </c>
      <c r="AC6" s="7">
        <f ca="1">[1]!b_calc_curve_chinabond("1082",AC$1,$B6)</f>
        <v>1.5007999999999999</v>
      </c>
      <c r="AD6" s="7">
        <f ca="1">[1]!b_calc_curve_chinabond("1082",AD$1,$B6)</f>
        <v>1.5</v>
      </c>
      <c r="AE6" s="7">
        <f ca="1">[1]!b_calc_curve_chinabond("1082",AE$1,$B6)</f>
        <v>1.5177</v>
      </c>
      <c r="AF6" s="7">
        <f ca="1">[1]!b_calc_curve_chinabond("1082",AF$1,$B6)</f>
        <v>0</v>
      </c>
      <c r="AG6" s="7">
        <f ca="1">[1]!b_calc_curve_chinabond("1082",AG$1,$B6)</f>
        <v>0</v>
      </c>
      <c r="AH6" s="7">
        <f ca="1">[1]!b_calc_curve_chinabond("1082",AH$1,$B6)</f>
        <v>0</v>
      </c>
      <c r="AI6" s="7">
        <f ca="1">[1]!b_calc_curve_chinabond("1082",AI$1,$B6)</f>
        <v>0</v>
      </c>
    </row>
    <row r="7" spans="1:35" ht="19.5" customHeight="1">
      <c r="A7" s="3" t="s">
        <v>7</v>
      </c>
      <c r="B7" s="4">
        <v>0.17</v>
      </c>
      <c r="C7" s="7">
        <f ca="1">[1]!b_calc_curve_chinabond("1082",C$1,$B7)</f>
        <v>1.43</v>
      </c>
      <c r="D7" s="7">
        <f ca="1">[1]!b_calc_curve_chinabond("1082",D$1,$B7)</f>
        <v>1.43</v>
      </c>
      <c r="E7" s="7">
        <f ca="1">[1]!b_calc_curve_chinabond("1082",E$1,$B7)</f>
        <v>0</v>
      </c>
      <c r="F7" s="7">
        <f ca="1">[1]!b_calc_curve_chinabond("1082",F$1,$B7)</f>
        <v>0</v>
      </c>
      <c r="G7" s="7">
        <f ca="1">[1]!b_calc_curve_chinabond("1082",G$1,$B7)</f>
        <v>1.42</v>
      </c>
      <c r="H7" s="7">
        <f ca="1">[1]!b_calc_curve_chinabond("1082",H$1,$B7)</f>
        <v>1.43</v>
      </c>
      <c r="I7" s="7">
        <f ca="1">[1]!b_calc_curve_chinabond("1082",I$1,$B7)</f>
        <v>1.43</v>
      </c>
      <c r="J7" s="7">
        <f ca="1">[1]!b_calc_curve_chinabond("1082",J$1,$B7)</f>
        <v>1.425</v>
      </c>
      <c r="K7" s="7">
        <f ca="1">[1]!b_calc_curve_chinabond("1082",K$1,$B7)</f>
        <v>1.4256</v>
      </c>
      <c r="L7" s="7">
        <f ca="1">[1]!b_calc_curve_chinabond("1082",L$1,$B7)</f>
        <v>0</v>
      </c>
      <c r="M7" s="7">
        <f ca="1">[1]!b_calc_curve_chinabond("1082",M$1,$B7)</f>
        <v>0</v>
      </c>
      <c r="N7" s="7">
        <f ca="1">[1]!b_calc_curve_chinabond("1082",N$1,$B7)</f>
        <v>1.42</v>
      </c>
      <c r="O7" s="7">
        <f ca="1">[1]!b_calc_curve_chinabond("1082",O$1,$B7)</f>
        <v>1.4272</v>
      </c>
      <c r="P7" s="7">
        <f ca="1">[1]!b_calc_curve_chinabond("1082",P$1,$B7)</f>
        <v>1.4254</v>
      </c>
      <c r="Q7" s="7">
        <f ca="1">[1]!b_calc_curve_chinabond("1082",Q$1,$B7)</f>
        <v>1.4297</v>
      </c>
      <c r="R7" s="7">
        <f ca="1">[1]!b_calc_curve_chinabond("1082",R$1,$B7)</f>
        <v>1.43</v>
      </c>
      <c r="S7" s="7">
        <f ca="1">[1]!b_calc_curve_chinabond("1082",S$1,$B7)</f>
        <v>0</v>
      </c>
      <c r="T7" s="7">
        <f ca="1">[1]!b_calc_curve_chinabond("1082",T$1,$B7)</f>
        <v>0</v>
      </c>
      <c r="U7" s="7">
        <f ca="1">[1]!b_calc_curve_chinabond("1082",U$1,$B7)</f>
        <v>1.4424999999999999</v>
      </c>
      <c r="V7" s="7">
        <f ca="1">[1]!b_calc_curve_chinabond("1082",V$1,$B7)</f>
        <v>1.4501999999999999</v>
      </c>
      <c r="W7" s="7">
        <f ca="1">[1]!b_calc_curve_chinabond("1082",W$1,$B7)</f>
        <v>1.4582999999999999</v>
      </c>
      <c r="X7" s="7">
        <f ca="1">[1]!b_calc_curve_chinabond("1082",X$1,$B7)</f>
        <v>1.4823</v>
      </c>
      <c r="Y7" s="7">
        <f ca="1">[1]!b_calc_curve_chinabond("1082",Y$1,$B7)</f>
        <v>1.51</v>
      </c>
      <c r="Z7" s="7">
        <f ca="1">[1]!b_calc_curve_chinabond("1082",Z$1,$B7)</f>
        <v>0</v>
      </c>
      <c r="AA7" s="7">
        <f ca="1">[1]!b_calc_curve_chinabond("1082",AA$1,$B7)</f>
        <v>0</v>
      </c>
      <c r="AB7" s="7">
        <f ca="1">[1]!b_calc_curve_chinabond("1082",AB$1,$B7)</f>
        <v>1.5</v>
      </c>
      <c r="AC7" s="7">
        <f ca="1">[1]!b_calc_curve_chinabond("1082",AC$1,$B7)</f>
        <v>1.5105999999999999</v>
      </c>
      <c r="AD7" s="7">
        <f ca="1">[1]!b_calc_curve_chinabond("1082",AD$1,$B7)</f>
        <v>1.5002</v>
      </c>
      <c r="AE7" s="7">
        <f ca="1">[1]!b_calc_curve_chinabond("1082",AE$1,$B7)</f>
        <v>1.4981</v>
      </c>
      <c r="AF7" s="7">
        <f ca="1">[1]!b_calc_curve_chinabond("1082",AF$1,$B7)</f>
        <v>0</v>
      </c>
      <c r="AG7" s="7">
        <f ca="1">[1]!b_calc_curve_chinabond("1082",AG$1,$B7)</f>
        <v>0</v>
      </c>
      <c r="AH7" s="7">
        <f ca="1">[1]!b_calc_curve_chinabond("1082",AH$1,$B7)</f>
        <v>0</v>
      </c>
      <c r="AI7" s="7">
        <f ca="1">[1]!b_calc_curve_chinabond("1082",AI$1,$B7)</f>
        <v>0</v>
      </c>
    </row>
    <row r="8" spans="1:35" ht="19.5" customHeight="1">
      <c r="A8" s="1" t="s">
        <v>8</v>
      </c>
      <c r="B8" s="2">
        <v>0.2</v>
      </c>
      <c r="C8" s="7">
        <f ca="1">[1]!b_calc_curve_chinabond("1082",C$1,$B8)</f>
        <v>1.43</v>
      </c>
      <c r="D8" s="7">
        <f ca="1">[1]!b_calc_curve_chinabond("1082",D$1,$B8)</f>
        <v>1.43</v>
      </c>
      <c r="E8" s="7">
        <f ca="1">[1]!b_calc_curve_chinabond("1082",E$1,$B8)</f>
        <v>0</v>
      </c>
      <c r="F8" s="7">
        <f ca="1">[1]!b_calc_curve_chinabond("1082",F$1,$B8)</f>
        <v>0</v>
      </c>
      <c r="G8" s="7">
        <f ca="1">[1]!b_calc_curve_chinabond("1082",G$1,$B8)</f>
        <v>1.42</v>
      </c>
      <c r="H8" s="7">
        <f ca="1">[1]!b_calc_curve_chinabond("1082",H$1,$B8)</f>
        <v>1.43</v>
      </c>
      <c r="I8" s="7">
        <f ca="1">[1]!b_calc_curve_chinabond("1082",I$1,$B8)</f>
        <v>1.43</v>
      </c>
      <c r="J8" s="7">
        <f ca="1">[1]!b_calc_curve_chinabond("1082",J$1,$B8)</f>
        <v>1.425</v>
      </c>
      <c r="K8" s="7">
        <f ca="1">[1]!b_calc_curve_chinabond("1082",K$1,$B8)</f>
        <v>1.4338</v>
      </c>
      <c r="L8" s="7">
        <f ca="1">[1]!b_calc_curve_chinabond("1082",L$1,$B8)</f>
        <v>0</v>
      </c>
      <c r="M8" s="7">
        <f ca="1">[1]!b_calc_curve_chinabond("1082",M$1,$B8)</f>
        <v>0</v>
      </c>
      <c r="N8" s="7">
        <f ca="1">[1]!b_calc_curve_chinabond("1082",N$1,$B8)</f>
        <v>1.4265000000000001</v>
      </c>
      <c r="O8" s="7">
        <f ca="1">[1]!b_calc_curve_chinabond("1082",O$1,$B8)</f>
        <v>1.4293</v>
      </c>
      <c r="P8" s="7">
        <f ca="1">[1]!b_calc_curve_chinabond("1082",P$1,$B8)</f>
        <v>1.4268000000000001</v>
      </c>
      <c r="Q8" s="7">
        <f ca="1">[1]!b_calc_curve_chinabond("1082",Q$1,$B8)</f>
        <v>1.4311</v>
      </c>
      <c r="R8" s="7">
        <f ca="1">[1]!b_calc_curve_chinabond("1082",R$1,$B8)</f>
        <v>1.4320999999999999</v>
      </c>
      <c r="S8" s="7">
        <f ca="1">[1]!b_calc_curve_chinabond("1082",S$1,$B8)</f>
        <v>0</v>
      </c>
      <c r="T8" s="7">
        <f ca="1">[1]!b_calc_curve_chinabond("1082",T$1,$B8)</f>
        <v>0</v>
      </c>
      <c r="U8" s="7">
        <f ca="1">[1]!b_calc_curve_chinabond("1082",U$1,$B8)</f>
        <v>1.4503999999999999</v>
      </c>
      <c r="V8" s="7">
        <f ca="1">[1]!b_calc_curve_chinabond("1082",V$1,$B8)</f>
        <v>1.4533</v>
      </c>
      <c r="W8" s="7">
        <f ca="1">[1]!b_calc_curve_chinabond("1082",W$1,$B8)</f>
        <v>1.4622999999999999</v>
      </c>
      <c r="X8" s="7">
        <f ca="1">[1]!b_calc_curve_chinabond("1082",X$1,$B8)</f>
        <v>1.4905999999999999</v>
      </c>
      <c r="Y8" s="7">
        <f ca="1">[1]!b_calc_curve_chinabond("1082",Y$1,$B8)</f>
        <v>1.51</v>
      </c>
      <c r="Z8" s="7">
        <f ca="1">[1]!b_calc_curve_chinabond("1082",Z$1,$B8)</f>
        <v>0</v>
      </c>
      <c r="AA8" s="7">
        <f ca="1">[1]!b_calc_curve_chinabond("1082",AA$1,$B8)</f>
        <v>0</v>
      </c>
      <c r="AB8" s="7">
        <f ca="1">[1]!b_calc_curve_chinabond("1082",AB$1,$B8)</f>
        <v>1.5001</v>
      </c>
      <c r="AC8" s="7">
        <f ca="1">[1]!b_calc_curve_chinabond("1082",AC$1,$B8)</f>
        <v>1.5138</v>
      </c>
      <c r="AD8" s="7">
        <f ca="1">[1]!b_calc_curve_chinabond("1082",AD$1,$B8)</f>
        <v>1.5024</v>
      </c>
      <c r="AE8" s="7">
        <f ca="1">[1]!b_calc_curve_chinabond("1082",AE$1,$B8)</f>
        <v>1.5011000000000001</v>
      </c>
      <c r="AF8" s="7">
        <f ca="1">[1]!b_calc_curve_chinabond("1082",AF$1,$B8)</f>
        <v>0</v>
      </c>
      <c r="AG8" s="7">
        <f ca="1">[1]!b_calc_curve_chinabond("1082",AG$1,$B8)</f>
        <v>0</v>
      </c>
      <c r="AH8" s="7">
        <f ca="1">[1]!b_calc_curve_chinabond("1082",AH$1,$B8)</f>
        <v>0</v>
      </c>
      <c r="AI8" s="7">
        <f ca="1">[1]!b_calc_curve_chinabond("1082",AI$1,$B8)</f>
        <v>0</v>
      </c>
    </row>
    <row r="9" spans="1:35" ht="19.5" customHeight="1">
      <c r="A9" s="3" t="s">
        <v>9</v>
      </c>
      <c r="B9" s="4">
        <v>0.25</v>
      </c>
      <c r="C9" s="7">
        <f ca="1">[1]!b_calc_curve_chinabond("1082",C$1,$B9)</f>
        <v>1.43</v>
      </c>
      <c r="D9" s="7">
        <f ca="1">[1]!b_calc_curve_chinabond("1082",D$1,$B9)</f>
        <v>1.43</v>
      </c>
      <c r="E9" s="7">
        <f ca="1">[1]!b_calc_curve_chinabond("1082",E$1,$B9)</f>
        <v>0</v>
      </c>
      <c r="F9" s="7">
        <f ca="1">[1]!b_calc_curve_chinabond("1082",F$1,$B9)</f>
        <v>0</v>
      </c>
      <c r="G9" s="7">
        <f ca="1">[1]!b_calc_curve_chinabond("1082",G$1,$B9)</f>
        <v>1.4200999999999999</v>
      </c>
      <c r="H9" s="7">
        <f ca="1">[1]!b_calc_curve_chinabond("1082",H$1,$B9)</f>
        <v>1.43</v>
      </c>
      <c r="I9" s="7">
        <f ca="1">[1]!b_calc_curve_chinabond("1082",I$1,$B9)</f>
        <v>1.43</v>
      </c>
      <c r="J9" s="7">
        <f ca="1">[1]!b_calc_curve_chinabond("1082",J$1,$B9)</f>
        <v>1.425</v>
      </c>
      <c r="K9" s="7">
        <f ca="1">[1]!b_calc_curve_chinabond("1082",K$1,$B9)</f>
        <v>1.4387000000000001</v>
      </c>
      <c r="L9" s="7">
        <f ca="1">[1]!b_calc_curve_chinabond("1082",L$1,$B9)</f>
        <v>0</v>
      </c>
      <c r="M9" s="7">
        <f ca="1">[1]!b_calc_curve_chinabond("1082",M$1,$B9)</f>
        <v>0</v>
      </c>
      <c r="N9" s="7">
        <f ca="1">[1]!b_calc_curve_chinabond("1082",N$1,$B9)</f>
        <v>1.4343999999999999</v>
      </c>
      <c r="O9" s="7">
        <f ca="1">[1]!b_calc_curve_chinabond("1082",O$1,$B9)</f>
        <v>1.43</v>
      </c>
      <c r="P9" s="7">
        <f ca="1">[1]!b_calc_curve_chinabond("1082",P$1,$B9)</f>
        <v>1.43</v>
      </c>
      <c r="Q9" s="7">
        <f ca="1">[1]!b_calc_curve_chinabond("1082",Q$1,$B9)</f>
        <v>1.4337</v>
      </c>
      <c r="R9" s="7">
        <f ca="1">[1]!b_calc_curve_chinabond("1082",R$1,$B9)</f>
        <v>1.4379</v>
      </c>
      <c r="S9" s="7">
        <f ca="1">[1]!b_calc_curve_chinabond("1082",S$1,$B9)</f>
        <v>0</v>
      </c>
      <c r="T9" s="7">
        <f ca="1">[1]!b_calc_curve_chinabond("1082",T$1,$B9)</f>
        <v>0</v>
      </c>
      <c r="U9" s="7">
        <f ca="1">[1]!b_calc_curve_chinabond("1082",U$1,$B9)</f>
        <v>1.46</v>
      </c>
      <c r="V9" s="7">
        <f ca="1">[1]!b_calc_curve_chinabond("1082",V$1,$B9)</f>
        <v>1.4621999999999999</v>
      </c>
      <c r="W9" s="7">
        <f ca="1">[1]!b_calc_curve_chinabond("1082",W$1,$B9)</f>
        <v>1.4716</v>
      </c>
      <c r="X9" s="7">
        <f ca="1">[1]!b_calc_curve_chinabond("1082",X$1,$B9)</f>
        <v>1.5022</v>
      </c>
      <c r="Y9" s="7">
        <f ca="1">[1]!b_calc_curve_chinabond("1082",Y$1,$B9)</f>
        <v>1.51</v>
      </c>
      <c r="Z9" s="7">
        <f ca="1">[1]!b_calc_curve_chinabond("1082",Z$1,$B9)</f>
        <v>0</v>
      </c>
      <c r="AA9" s="7">
        <f ca="1">[1]!b_calc_curve_chinabond("1082",AA$1,$B9)</f>
        <v>0</v>
      </c>
      <c r="AB9" s="7">
        <f ca="1">[1]!b_calc_curve_chinabond("1082",AB$1,$B9)</f>
        <v>1.5003</v>
      </c>
      <c r="AC9" s="7">
        <f ca="1">[1]!b_calc_curve_chinabond("1082",AC$1,$B9)</f>
        <v>1.5168999999999999</v>
      </c>
      <c r="AD9" s="7">
        <f ca="1">[1]!b_calc_curve_chinabond("1082",AD$1,$B9)</f>
        <v>1.5088999999999999</v>
      </c>
      <c r="AE9" s="7">
        <f ca="1">[1]!b_calc_curve_chinabond("1082",AE$1,$B9)</f>
        <v>1.5099</v>
      </c>
      <c r="AF9" s="7">
        <f ca="1">[1]!b_calc_curve_chinabond("1082",AF$1,$B9)</f>
        <v>0</v>
      </c>
      <c r="AG9" s="7">
        <f ca="1">[1]!b_calc_curve_chinabond("1082",AG$1,$B9)</f>
        <v>0</v>
      </c>
      <c r="AH9" s="7">
        <f ca="1">[1]!b_calc_curve_chinabond("1082",AH$1,$B9)</f>
        <v>0</v>
      </c>
      <c r="AI9" s="7">
        <f ca="1">[1]!b_calc_curve_chinabond("1082",AI$1,$B9)</f>
        <v>0</v>
      </c>
    </row>
    <row r="10" spans="1:35" ht="19.5" customHeight="1">
      <c r="A10" s="1" t="s">
        <v>10</v>
      </c>
      <c r="B10" s="2">
        <v>0.3</v>
      </c>
      <c r="C10" s="7">
        <f ca="1">[1]!b_calc_curve_chinabond("1082",C$1,$B10)</f>
        <v>1.4303999999999999</v>
      </c>
      <c r="D10" s="7">
        <f ca="1">[1]!b_calc_curve_chinabond("1082",D$1,$B10)</f>
        <v>1.4302999999999999</v>
      </c>
      <c r="E10" s="7">
        <f ca="1">[1]!b_calc_curve_chinabond("1082",E$1,$B10)</f>
        <v>0</v>
      </c>
      <c r="F10" s="7">
        <f ca="1">[1]!b_calc_curve_chinabond("1082",F$1,$B10)</f>
        <v>0</v>
      </c>
      <c r="G10" s="7">
        <f ca="1">[1]!b_calc_curve_chinabond("1082",G$1,$B10)</f>
        <v>1.421</v>
      </c>
      <c r="H10" s="7">
        <f ca="1">[1]!b_calc_curve_chinabond("1082",H$1,$B10)</f>
        <v>1.4303999999999999</v>
      </c>
      <c r="I10" s="7">
        <f ca="1">[1]!b_calc_curve_chinabond("1082",I$1,$B10)</f>
        <v>1.43</v>
      </c>
      <c r="J10" s="7">
        <f ca="1">[1]!b_calc_curve_chinabond("1082",J$1,$B10)</f>
        <v>1.4257</v>
      </c>
      <c r="K10" s="7">
        <f ca="1">[1]!b_calc_curve_chinabond("1082",K$1,$B10)</f>
        <v>1.4393</v>
      </c>
      <c r="L10" s="7">
        <f ca="1">[1]!b_calc_curve_chinabond("1082",L$1,$B10)</f>
        <v>0</v>
      </c>
      <c r="M10" s="7">
        <f ca="1">[1]!b_calc_curve_chinabond("1082",M$1,$B10)</f>
        <v>0</v>
      </c>
      <c r="N10" s="7">
        <f ca="1">[1]!b_calc_curve_chinabond("1082",N$1,$B10)</f>
        <v>1.4347000000000001</v>
      </c>
      <c r="O10" s="7">
        <f ca="1">[1]!b_calc_curve_chinabond("1082",O$1,$B10)</f>
        <v>1.43</v>
      </c>
      <c r="P10" s="7">
        <f ca="1">[1]!b_calc_curve_chinabond("1082",P$1,$B10)</f>
        <v>1.4326000000000001</v>
      </c>
      <c r="Q10" s="7">
        <f ca="1">[1]!b_calc_curve_chinabond("1082",Q$1,$B10)</f>
        <v>1.4366000000000001</v>
      </c>
      <c r="R10" s="7">
        <f ca="1">[1]!b_calc_curve_chinabond("1082",R$1,$B10)</f>
        <v>1.4428000000000001</v>
      </c>
      <c r="S10" s="7">
        <f ca="1">[1]!b_calc_curve_chinabond("1082",S$1,$B10)</f>
        <v>0</v>
      </c>
      <c r="T10" s="7">
        <f ca="1">[1]!b_calc_curve_chinabond("1082",T$1,$B10)</f>
        <v>0</v>
      </c>
      <c r="U10" s="7">
        <f ca="1">[1]!b_calc_curve_chinabond("1082",U$1,$B10)</f>
        <v>1.46</v>
      </c>
      <c r="V10" s="7">
        <f ca="1">[1]!b_calc_curve_chinabond("1082",V$1,$B10)</f>
        <v>1.4677</v>
      </c>
      <c r="W10" s="7">
        <f ca="1">[1]!b_calc_curve_chinabond("1082",W$1,$B10)</f>
        <v>1.478</v>
      </c>
      <c r="X10" s="7">
        <f ca="1">[1]!b_calc_curve_chinabond("1082",X$1,$B10)</f>
        <v>1.5026999999999999</v>
      </c>
      <c r="Y10" s="7">
        <f ca="1">[1]!b_calc_curve_chinabond("1082",Y$1,$B10)</f>
        <v>1.5114000000000001</v>
      </c>
      <c r="Z10" s="7">
        <f ca="1">[1]!b_calc_curve_chinabond("1082",Z$1,$B10)</f>
        <v>0</v>
      </c>
      <c r="AA10" s="7">
        <f ca="1">[1]!b_calc_curve_chinabond("1082",AA$1,$B10)</f>
        <v>0</v>
      </c>
      <c r="AB10" s="7">
        <f ca="1">[1]!b_calc_curve_chinabond("1082",AB$1,$B10)</f>
        <v>1.5041</v>
      </c>
      <c r="AC10" s="7">
        <f ca="1">[1]!b_calc_curve_chinabond("1082",AC$1,$B10)</f>
        <v>1.5209999999999999</v>
      </c>
      <c r="AD10" s="7">
        <f ca="1">[1]!b_calc_curve_chinabond("1082",AD$1,$B10)</f>
        <v>1.5138</v>
      </c>
      <c r="AE10" s="7">
        <f ca="1">[1]!b_calc_curve_chinabond("1082",AE$1,$B10)</f>
        <v>1.5165999999999999</v>
      </c>
      <c r="AF10" s="7">
        <f ca="1">[1]!b_calc_curve_chinabond("1082",AF$1,$B10)</f>
        <v>0</v>
      </c>
      <c r="AG10" s="7">
        <f ca="1">[1]!b_calc_curve_chinabond("1082",AG$1,$B10)</f>
        <v>0</v>
      </c>
      <c r="AH10" s="7">
        <f ca="1">[1]!b_calc_curve_chinabond("1082",AH$1,$B10)</f>
        <v>0</v>
      </c>
      <c r="AI10" s="7">
        <f ca="1">[1]!b_calc_curve_chinabond("1082",AI$1,$B10)</f>
        <v>0</v>
      </c>
    </row>
    <row r="11" spans="1:35" ht="19.5" customHeight="1">
      <c r="A11" s="3" t="s">
        <v>11</v>
      </c>
      <c r="B11" s="4">
        <v>0.4</v>
      </c>
      <c r="C11" s="7">
        <f ca="1">[1]!b_calc_curve_chinabond("1082",C$1,$B11)</f>
        <v>1.4329000000000001</v>
      </c>
      <c r="D11" s="7">
        <f ca="1">[1]!b_calc_curve_chinabond("1082",D$1,$B11)</f>
        <v>1.4320999999999999</v>
      </c>
      <c r="E11" s="7">
        <f ca="1">[1]!b_calc_curve_chinabond("1082",E$1,$B11)</f>
        <v>0</v>
      </c>
      <c r="F11" s="7">
        <f ca="1">[1]!b_calc_curve_chinabond("1082",F$1,$B11)</f>
        <v>0</v>
      </c>
      <c r="G11" s="7">
        <f ca="1">[1]!b_calc_curve_chinabond("1082",G$1,$B11)</f>
        <v>1.4268000000000001</v>
      </c>
      <c r="H11" s="7">
        <f ca="1">[1]!b_calc_curve_chinabond("1082",H$1,$B11)</f>
        <v>1.4325000000000001</v>
      </c>
      <c r="I11" s="7">
        <f ca="1">[1]!b_calc_curve_chinabond("1082",I$1,$B11)</f>
        <v>1.4300999999999999</v>
      </c>
      <c r="J11" s="7">
        <f ca="1">[1]!b_calc_curve_chinabond("1082",J$1,$B11)</f>
        <v>1.4300999999999999</v>
      </c>
      <c r="K11" s="7">
        <f ca="1">[1]!b_calc_curve_chinabond("1082",K$1,$B11)</f>
        <v>1.4399</v>
      </c>
      <c r="L11" s="7">
        <f ca="1">[1]!b_calc_curve_chinabond("1082",L$1,$B11)</f>
        <v>0</v>
      </c>
      <c r="M11" s="7">
        <f ca="1">[1]!b_calc_curve_chinabond("1082",M$1,$B11)</f>
        <v>0</v>
      </c>
      <c r="N11" s="7">
        <f ca="1">[1]!b_calc_curve_chinabond("1082",N$1,$B11)</f>
        <v>1.4351</v>
      </c>
      <c r="O11" s="7">
        <f ca="1">[1]!b_calc_curve_chinabond("1082",O$1,$B11)</f>
        <v>1.43</v>
      </c>
      <c r="P11" s="7">
        <f ca="1">[1]!b_calc_curve_chinabond("1082",P$1,$B11)</f>
        <v>1.4376</v>
      </c>
      <c r="Q11" s="7">
        <f ca="1">[1]!b_calc_curve_chinabond("1082",Q$1,$B11)</f>
        <v>1.4437</v>
      </c>
      <c r="R11" s="7">
        <f ca="1">[1]!b_calc_curve_chinabond("1082",R$1,$B11)</f>
        <v>1.4532</v>
      </c>
      <c r="S11" s="7">
        <f ca="1">[1]!b_calc_curve_chinabond("1082",S$1,$B11)</f>
        <v>0</v>
      </c>
      <c r="T11" s="7">
        <f ca="1">[1]!b_calc_curve_chinabond("1082",T$1,$B11)</f>
        <v>0</v>
      </c>
      <c r="U11" s="7">
        <f ca="1">[1]!b_calc_curve_chinabond("1082",U$1,$B11)</f>
        <v>1.46</v>
      </c>
      <c r="V11" s="7">
        <f ca="1">[1]!b_calc_curve_chinabond("1082",V$1,$B11)</f>
        <v>1.4721</v>
      </c>
      <c r="W11" s="7">
        <f ca="1">[1]!b_calc_curve_chinabond("1082",W$1,$B11)</f>
        <v>1.4846999999999999</v>
      </c>
      <c r="X11" s="7">
        <f ca="1">[1]!b_calc_curve_chinabond("1082",X$1,$B11)</f>
        <v>1.5033000000000001</v>
      </c>
      <c r="Y11" s="7">
        <f ca="1">[1]!b_calc_curve_chinabond("1082",Y$1,$B11)</f>
        <v>1.5201</v>
      </c>
      <c r="Z11" s="7">
        <f ca="1">[1]!b_calc_curve_chinabond("1082",Z$1,$B11)</f>
        <v>0</v>
      </c>
      <c r="AA11" s="7">
        <f ca="1">[1]!b_calc_curve_chinabond("1082",AA$1,$B11)</f>
        <v>0</v>
      </c>
      <c r="AB11" s="7">
        <f ca="1">[1]!b_calc_curve_chinabond("1082",AB$1,$B11)</f>
        <v>1.5237000000000001</v>
      </c>
      <c r="AC11" s="7">
        <f ca="1">[1]!b_calc_curve_chinabond("1082",AC$1,$B11)</f>
        <v>1.5306999999999999</v>
      </c>
      <c r="AD11" s="7">
        <f ca="1">[1]!b_calc_curve_chinabond("1082",AD$1,$B11)</f>
        <v>1.5221</v>
      </c>
      <c r="AE11" s="7">
        <f ca="1">[1]!b_calc_curve_chinabond("1082",AE$1,$B11)</f>
        <v>1.5263</v>
      </c>
      <c r="AF11" s="7">
        <f ca="1">[1]!b_calc_curve_chinabond("1082",AF$1,$B11)</f>
        <v>0</v>
      </c>
      <c r="AG11" s="7">
        <f ca="1">[1]!b_calc_curve_chinabond("1082",AG$1,$B11)</f>
        <v>0</v>
      </c>
      <c r="AH11" s="7">
        <f ca="1">[1]!b_calc_curve_chinabond("1082",AH$1,$B11)</f>
        <v>0</v>
      </c>
      <c r="AI11" s="7">
        <f ca="1">[1]!b_calc_curve_chinabond("1082",AI$1,$B11)</f>
        <v>0</v>
      </c>
    </row>
    <row r="12" spans="1:35" ht="19.5" customHeight="1">
      <c r="A12" s="1" t="s">
        <v>12</v>
      </c>
      <c r="B12" s="2">
        <v>0.5</v>
      </c>
      <c r="C12" s="7">
        <f ca="1">[1]!b_calc_curve_chinabond("1082",C$1,$B12)</f>
        <v>1.4358</v>
      </c>
      <c r="D12" s="7">
        <f ca="1">[1]!b_calc_curve_chinabond("1082",D$1,$B12)</f>
        <v>1.4339999999999999</v>
      </c>
      <c r="E12" s="7">
        <f ca="1">[1]!b_calc_curve_chinabond("1082",E$1,$B12)</f>
        <v>0</v>
      </c>
      <c r="F12" s="7">
        <f ca="1">[1]!b_calc_curve_chinabond("1082",F$1,$B12)</f>
        <v>0</v>
      </c>
      <c r="G12" s="7">
        <f ca="1">[1]!b_calc_curve_chinabond("1082",G$1,$B12)</f>
        <v>1.4335</v>
      </c>
      <c r="H12" s="7">
        <f ca="1">[1]!b_calc_curve_chinabond("1082",H$1,$B12)</f>
        <v>1.4349000000000001</v>
      </c>
      <c r="I12" s="7">
        <f ca="1">[1]!b_calc_curve_chinabond("1082",I$1,$B12)</f>
        <v>1.4301999999999999</v>
      </c>
      <c r="J12" s="7">
        <f ca="1">[1]!b_calc_curve_chinabond("1082",J$1,$B12)</f>
        <v>1.4352</v>
      </c>
      <c r="K12" s="7">
        <f ca="1">[1]!b_calc_curve_chinabond("1082",K$1,$B12)</f>
        <v>1.44</v>
      </c>
      <c r="L12" s="7">
        <f ca="1">[1]!b_calc_curve_chinabond("1082",L$1,$B12)</f>
        <v>0</v>
      </c>
      <c r="M12" s="7">
        <f ca="1">[1]!b_calc_curve_chinabond("1082",M$1,$B12)</f>
        <v>0</v>
      </c>
      <c r="N12" s="7">
        <f ca="1">[1]!b_calc_curve_chinabond("1082",N$1,$B12)</f>
        <v>1.4351</v>
      </c>
      <c r="O12" s="7">
        <f ca="1">[1]!b_calc_curve_chinabond("1082",O$1,$B12)</f>
        <v>1.43</v>
      </c>
      <c r="P12" s="7">
        <f ca="1">[1]!b_calc_curve_chinabond("1082",P$1,$B12)</f>
        <v>1.4424999999999999</v>
      </c>
      <c r="Q12" s="7">
        <f ca="1">[1]!b_calc_curve_chinabond("1082",Q$1,$B12)</f>
        <v>1.4512</v>
      </c>
      <c r="R12" s="7">
        <f ca="1">[1]!b_calc_curve_chinabond("1082",R$1,$B12)</f>
        <v>1.4637</v>
      </c>
      <c r="S12" s="7">
        <f ca="1">[1]!b_calc_curve_chinabond("1082",S$1,$B12)</f>
        <v>0</v>
      </c>
      <c r="T12" s="7">
        <f ca="1">[1]!b_calc_curve_chinabond("1082",T$1,$B12)</f>
        <v>0</v>
      </c>
      <c r="U12" s="7">
        <f ca="1">[1]!b_calc_curve_chinabond("1082",U$1,$B12)</f>
        <v>1.46</v>
      </c>
      <c r="V12" s="7">
        <f ca="1">[1]!b_calc_curve_chinabond("1082",V$1,$B12)</f>
        <v>1.4750000000000001</v>
      </c>
      <c r="W12" s="7">
        <f ca="1">[1]!b_calc_curve_chinabond("1082",W$1,$B12)</f>
        <v>1.49</v>
      </c>
      <c r="X12" s="7">
        <f ca="1">[1]!b_calc_curve_chinabond("1082",X$1,$B12)</f>
        <v>1.5033000000000001</v>
      </c>
      <c r="Y12" s="7">
        <f ca="1">[1]!b_calc_curve_chinabond("1082",Y$1,$B12)</f>
        <v>1.53</v>
      </c>
      <c r="Z12" s="7">
        <f ca="1">[1]!b_calc_curve_chinabond("1082",Z$1,$B12)</f>
        <v>0</v>
      </c>
      <c r="AA12" s="7">
        <f ca="1">[1]!b_calc_curve_chinabond("1082",AA$1,$B12)</f>
        <v>0</v>
      </c>
      <c r="AB12" s="7">
        <f ca="1">[1]!b_calc_curve_chinabond("1082",AB$1,$B12)</f>
        <v>1.5377000000000001</v>
      </c>
      <c r="AC12" s="7">
        <f ca="1">[1]!b_calc_curve_chinabond("1082",AC$1,$B12)</f>
        <v>1.5407</v>
      </c>
      <c r="AD12" s="7">
        <f ca="1">[1]!b_calc_curve_chinabond("1082",AD$1,$B12)</f>
        <v>1.53</v>
      </c>
      <c r="AE12" s="7">
        <f ca="1">[1]!b_calc_curve_chinabond("1082",AE$1,$B12)</f>
        <v>1.5299</v>
      </c>
      <c r="AF12" s="7">
        <f ca="1">[1]!b_calc_curve_chinabond("1082",AF$1,$B12)</f>
        <v>0</v>
      </c>
      <c r="AG12" s="7">
        <f ca="1">[1]!b_calc_curve_chinabond("1082",AG$1,$B12)</f>
        <v>0</v>
      </c>
      <c r="AH12" s="7">
        <f ca="1">[1]!b_calc_curve_chinabond("1082",AH$1,$B12)</f>
        <v>0</v>
      </c>
      <c r="AI12" s="7">
        <f ca="1">[1]!b_calc_curve_chinabond("1082",AI$1,$B12)</f>
        <v>0</v>
      </c>
    </row>
    <row r="13" spans="1:35" ht="19.5" customHeight="1">
      <c r="A13" s="3" t="s">
        <v>13</v>
      </c>
      <c r="B13" s="4">
        <v>0.6</v>
      </c>
      <c r="C13" s="7">
        <f ca="1">[1]!b_calc_curve_chinabond("1082",C$1,$B13)</f>
        <v>1.4471000000000001</v>
      </c>
      <c r="D13" s="7">
        <f ca="1">[1]!b_calc_curve_chinabond("1082",D$1,$B13)</f>
        <v>1.4442999999999999</v>
      </c>
      <c r="E13" s="7">
        <f ca="1">[1]!b_calc_curve_chinabond("1082",E$1,$B13)</f>
        <v>0</v>
      </c>
      <c r="F13" s="7">
        <f ca="1">[1]!b_calc_curve_chinabond("1082",F$1,$B13)</f>
        <v>0</v>
      </c>
      <c r="G13" s="7">
        <f ca="1">[1]!b_calc_curve_chinabond("1082",G$1,$B13)</f>
        <v>1.4435</v>
      </c>
      <c r="H13" s="7">
        <f ca="1">[1]!b_calc_curve_chinabond("1082",H$1,$B13)</f>
        <v>1.4412</v>
      </c>
      <c r="I13" s="7">
        <f ca="1">[1]!b_calc_curve_chinabond("1082",I$1,$B13)</f>
        <v>1.4368000000000001</v>
      </c>
      <c r="J13" s="7">
        <f ca="1">[1]!b_calc_curve_chinabond("1082",J$1,$B13)</f>
        <v>1.4453</v>
      </c>
      <c r="K13" s="7">
        <f ca="1">[1]!b_calc_curve_chinabond("1082",K$1,$B13)</f>
        <v>1.4474</v>
      </c>
      <c r="L13" s="7">
        <f ca="1">[1]!b_calc_curve_chinabond("1082",L$1,$B13)</f>
        <v>0</v>
      </c>
      <c r="M13" s="7">
        <f ca="1">[1]!b_calc_curve_chinabond("1082",M$1,$B13)</f>
        <v>0</v>
      </c>
      <c r="N13" s="7">
        <f ca="1">[1]!b_calc_curve_chinabond("1082",N$1,$B13)</f>
        <v>1.4438</v>
      </c>
      <c r="O13" s="7">
        <f ca="1">[1]!b_calc_curve_chinabond("1082",O$1,$B13)</f>
        <v>1.4379</v>
      </c>
      <c r="P13" s="7">
        <f ca="1">[1]!b_calc_curve_chinabond("1082",P$1,$B13)</f>
        <v>1.4516</v>
      </c>
      <c r="Q13" s="7">
        <f ca="1">[1]!b_calc_curve_chinabond("1082",Q$1,$B13)</f>
        <v>1.4597</v>
      </c>
      <c r="R13" s="7">
        <f ca="1">[1]!b_calc_curve_chinabond("1082",R$1,$B13)</f>
        <v>1.4714</v>
      </c>
      <c r="S13" s="7">
        <f ca="1">[1]!b_calc_curve_chinabond("1082",S$1,$B13)</f>
        <v>0</v>
      </c>
      <c r="T13" s="7">
        <f ca="1">[1]!b_calc_curve_chinabond("1082",T$1,$B13)</f>
        <v>0</v>
      </c>
      <c r="U13" s="7">
        <f ca="1">[1]!b_calc_curve_chinabond("1082",U$1,$B13)</f>
        <v>1.4651000000000001</v>
      </c>
      <c r="V13" s="7">
        <f ca="1">[1]!b_calc_curve_chinabond("1082",V$1,$B13)</f>
        <v>1.4804999999999999</v>
      </c>
      <c r="W13" s="7">
        <f ca="1">[1]!b_calc_curve_chinabond("1082",W$1,$B13)</f>
        <v>1.4952000000000001</v>
      </c>
      <c r="X13" s="7">
        <f ca="1">[1]!b_calc_curve_chinabond("1082",X$1,$B13)</f>
        <v>1.5074000000000001</v>
      </c>
      <c r="Y13" s="7">
        <f ca="1">[1]!b_calc_curve_chinabond("1082",Y$1,$B13)</f>
        <v>1.5350999999999999</v>
      </c>
      <c r="Z13" s="7">
        <f ca="1">[1]!b_calc_curve_chinabond("1082",Z$1,$B13)</f>
        <v>0</v>
      </c>
      <c r="AA13" s="7">
        <f ca="1">[1]!b_calc_curve_chinabond("1082",AA$1,$B13)</f>
        <v>0</v>
      </c>
      <c r="AB13" s="7">
        <f ca="1">[1]!b_calc_curve_chinabond("1082",AB$1,$B13)</f>
        <v>1.5394000000000001</v>
      </c>
      <c r="AC13" s="7">
        <f ca="1">[1]!b_calc_curve_chinabond("1082",AC$1,$B13)</f>
        <v>1.5477000000000001</v>
      </c>
      <c r="AD13" s="7">
        <f ca="1">[1]!b_calc_curve_chinabond("1082",AD$1,$B13)</f>
        <v>1.5356000000000001</v>
      </c>
      <c r="AE13" s="7">
        <f ca="1">[1]!b_calc_curve_chinabond("1082",AE$1,$B13)</f>
        <v>1.53</v>
      </c>
      <c r="AF13" s="7">
        <f ca="1">[1]!b_calc_curve_chinabond("1082",AF$1,$B13)</f>
        <v>0</v>
      </c>
      <c r="AG13" s="7">
        <f ca="1">[1]!b_calc_curve_chinabond("1082",AG$1,$B13)</f>
        <v>0</v>
      </c>
      <c r="AH13" s="7">
        <f ca="1">[1]!b_calc_curve_chinabond("1082",AH$1,$B13)</f>
        <v>0</v>
      </c>
      <c r="AI13" s="7">
        <f ca="1">[1]!b_calc_curve_chinabond("1082",AI$1,$B13)</f>
        <v>0</v>
      </c>
    </row>
    <row r="14" spans="1:35" ht="19.5" customHeight="1">
      <c r="A14" s="1" t="s">
        <v>14</v>
      </c>
      <c r="B14" s="2">
        <v>0.7</v>
      </c>
      <c r="C14" s="7">
        <f ca="1">[1]!b_calc_curve_chinabond("1082",C$1,$B14)</f>
        <v>1.4673</v>
      </c>
      <c r="D14" s="7">
        <f ca="1">[1]!b_calc_curve_chinabond("1082",D$1,$B14)</f>
        <v>1.4631000000000001</v>
      </c>
      <c r="E14" s="7">
        <f ca="1">[1]!b_calc_curve_chinabond("1082",E$1,$B14)</f>
        <v>0</v>
      </c>
      <c r="F14" s="7">
        <f ca="1">[1]!b_calc_curve_chinabond("1082",F$1,$B14)</f>
        <v>0</v>
      </c>
      <c r="G14" s="7">
        <f ca="1">[1]!b_calc_curve_chinabond("1082",G$1,$B14)</f>
        <v>1.4581999999999999</v>
      </c>
      <c r="H14" s="7">
        <f ca="1">[1]!b_calc_curve_chinabond("1082",H$1,$B14)</f>
        <v>1.4517</v>
      </c>
      <c r="I14" s="7">
        <f ca="1">[1]!b_calc_curve_chinabond("1082",I$1,$B14)</f>
        <v>1.45</v>
      </c>
      <c r="J14" s="7">
        <f ca="1">[1]!b_calc_curve_chinabond("1082",J$1,$B14)</f>
        <v>1.4613</v>
      </c>
      <c r="K14" s="7">
        <f ca="1">[1]!b_calc_curve_chinabond("1082",K$1,$B14)</f>
        <v>1.4621</v>
      </c>
      <c r="L14" s="7">
        <f ca="1">[1]!b_calc_curve_chinabond("1082",L$1,$B14)</f>
        <v>0</v>
      </c>
      <c r="M14" s="7">
        <f ca="1">[1]!b_calc_curve_chinabond("1082",M$1,$B14)</f>
        <v>0</v>
      </c>
      <c r="N14" s="7">
        <f ca="1">[1]!b_calc_curve_chinabond("1082",N$1,$B14)</f>
        <v>1.4611000000000001</v>
      </c>
      <c r="O14" s="7">
        <f ca="1">[1]!b_calc_curve_chinabond("1082",O$1,$B14)</f>
        <v>1.4538</v>
      </c>
      <c r="P14" s="7">
        <f ca="1">[1]!b_calc_curve_chinabond("1082",P$1,$B14)</f>
        <v>1.4646999999999999</v>
      </c>
      <c r="Q14" s="7">
        <f ca="1">[1]!b_calc_curve_chinabond("1082",Q$1,$B14)</f>
        <v>1.4696</v>
      </c>
      <c r="R14" s="7">
        <f ca="1">[1]!b_calc_curve_chinabond("1082",R$1,$B14)</f>
        <v>1.4764999999999999</v>
      </c>
      <c r="S14" s="7">
        <f ca="1">[1]!b_calc_curve_chinabond("1082",S$1,$B14)</f>
        <v>0</v>
      </c>
      <c r="T14" s="7">
        <f ca="1">[1]!b_calc_curve_chinabond("1082",T$1,$B14)</f>
        <v>0</v>
      </c>
      <c r="U14" s="7">
        <f ca="1">[1]!b_calc_curve_chinabond("1082",U$1,$B14)</f>
        <v>1.4754</v>
      </c>
      <c r="V14" s="7">
        <f ca="1">[1]!b_calc_curve_chinabond("1082",V$1,$B14)</f>
        <v>1.4863999999999999</v>
      </c>
      <c r="W14" s="7">
        <f ca="1">[1]!b_calc_curve_chinabond("1082",W$1,$B14)</f>
        <v>1.4983</v>
      </c>
      <c r="X14" s="7">
        <f ca="1">[1]!b_calc_curve_chinabond("1082",X$1,$B14)</f>
        <v>1.5154000000000001</v>
      </c>
      <c r="Y14" s="7">
        <f ca="1">[1]!b_calc_curve_chinabond("1082",Y$1,$B14)</f>
        <v>1.5373000000000001</v>
      </c>
      <c r="Z14" s="7">
        <f ca="1">[1]!b_calc_curve_chinabond("1082",Z$1,$B14)</f>
        <v>0</v>
      </c>
      <c r="AA14" s="7">
        <f ca="1">[1]!b_calc_curve_chinabond("1082",AA$1,$B14)</f>
        <v>0</v>
      </c>
      <c r="AB14" s="7">
        <f ca="1">[1]!b_calc_curve_chinabond("1082",AB$1,$B14)</f>
        <v>1.5398000000000001</v>
      </c>
      <c r="AC14" s="7">
        <f ca="1">[1]!b_calc_curve_chinabond("1082",AC$1,$B14)</f>
        <v>1.552</v>
      </c>
      <c r="AD14" s="7">
        <f ca="1">[1]!b_calc_curve_chinabond("1082",AD$1,$B14)</f>
        <v>1.5384</v>
      </c>
      <c r="AE14" s="7">
        <f ca="1">[1]!b_calc_curve_chinabond("1082",AE$1,$B14)</f>
        <v>1.53</v>
      </c>
      <c r="AF14" s="7">
        <f ca="1">[1]!b_calc_curve_chinabond("1082",AF$1,$B14)</f>
        <v>0</v>
      </c>
      <c r="AG14" s="7">
        <f ca="1">[1]!b_calc_curve_chinabond("1082",AG$1,$B14)</f>
        <v>0</v>
      </c>
      <c r="AH14" s="7">
        <f ca="1">[1]!b_calc_curve_chinabond("1082",AH$1,$B14)</f>
        <v>0</v>
      </c>
      <c r="AI14" s="7">
        <f ca="1">[1]!b_calc_curve_chinabond("1082",AI$1,$B14)</f>
        <v>0</v>
      </c>
    </row>
    <row r="15" spans="1:35" ht="19.5" customHeight="1">
      <c r="A15" s="3" t="s">
        <v>15</v>
      </c>
      <c r="B15" s="4">
        <v>0.75</v>
      </c>
      <c r="C15" s="7">
        <f ca="1">[1]!b_calc_curve_chinabond("1082",C$1,$B15)</f>
        <v>1.4764999999999999</v>
      </c>
      <c r="D15" s="7">
        <f ca="1">[1]!b_calc_curve_chinabond("1082",D$1,$B15)</f>
        <v>1.4718</v>
      </c>
      <c r="E15" s="7">
        <f ca="1">[1]!b_calc_curve_chinabond("1082",E$1,$B15)</f>
        <v>0</v>
      </c>
      <c r="F15" s="7">
        <f ca="1">[1]!b_calc_curve_chinabond("1082",F$1,$B15)</f>
        <v>0</v>
      </c>
      <c r="G15" s="7">
        <f ca="1">[1]!b_calc_curve_chinabond("1082",G$1,$B15)</f>
        <v>1.4652000000000001</v>
      </c>
      <c r="H15" s="7">
        <f ca="1">[1]!b_calc_curve_chinabond("1082",H$1,$B15)</f>
        <v>1.4564999999999999</v>
      </c>
      <c r="I15" s="7">
        <f ca="1">[1]!b_calc_curve_chinabond("1082",I$1,$B15)</f>
        <v>1.456</v>
      </c>
      <c r="J15" s="7">
        <f ca="1">[1]!b_calc_curve_chinabond("1082",J$1,$B15)</f>
        <v>1.4688000000000001</v>
      </c>
      <c r="K15" s="7">
        <f ca="1">[1]!b_calc_curve_chinabond("1082",K$1,$B15)</f>
        <v>1.4688000000000001</v>
      </c>
      <c r="L15" s="7">
        <f ca="1">[1]!b_calc_curve_chinabond("1082",L$1,$B15)</f>
        <v>0</v>
      </c>
      <c r="M15" s="7">
        <f ca="1">[1]!b_calc_curve_chinabond("1082",M$1,$B15)</f>
        <v>0</v>
      </c>
      <c r="N15" s="7">
        <f ca="1">[1]!b_calc_curve_chinabond("1082",N$1,$B15)</f>
        <v>1.4689000000000001</v>
      </c>
      <c r="O15" s="7">
        <f ca="1">[1]!b_calc_curve_chinabond("1082",O$1,$B15)</f>
        <v>1.4610000000000001</v>
      </c>
      <c r="P15" s="7">
        <f ca="1">[1]!b_calc_curve_chinabond("1082",P$1,$B15)</f>
        <v>1.4708000000000001</v>
      </c>
      <c r="Q15" s="7">
        <f ca="1">[1]!b_calc_curve_chinabond("1082",Q$1,$B15)</f>
        <v>1.4743999999999999</v>
      </c>
      <c r="R15" s="7">
        <f ca="1">[1]!b_calc_curve_chinabond("1082",R$1,$B15)</f>
        <v>1.4792000000000001</v>
      </c>
      <c r="S15" s="7">
        <f ca="1">[1]!b_calc_curve_chinabond("1082",S$1,$B15)</f>
        <v>0</v>
      </c>
      <c r="T15" s="7">
        <f ca="1">[1]!b_calc_curve_chinabond("1082",T$1,$B15)</f>
        <v>0</v>
      </c>
      <c r="U15" s="7">
        <f ca="1">[1]!b_calc_curve_chinabond("1082",U$1,$B15)</f>
        <v>1.48</v>
      </c>
      <c r="V15" s="7">
        <f ca="1">[1]!b_calc_curve_chinabond("1082",V$1,$B15)</f>
        <v>1.4893000000000001</v>
      </c>
      <c r="W15" s="7">
        <f ca="1">[1]!b_calc_curve_chinabond("1082",W$1,$B15)</f>
        <v>1.5</v>
      </c>
      <c r="X15" s="7">
        <f ca="1">[1]!b_calc_curve_chinabond("1082",X$1,$B15)</f>
        <v>1.5190999999999999</v>
      </c>
      <c r="Y15" s="7">
        <f ca="1">[1]!b_calc_curve_chinabond("1082",Y$1,$B15)</f>
        <v>1.5387</v>
      </c>
      <c r="Z15" s="7">
        <f ca="1">[1]!b_calc_curve_chinabond("1082",Z$1,$B15)</f>
        <v>0</v>
      </c>
      <c r="AA15" s="7">
        <f ca="1">[1]!b_calc_curve_chinabond("1082",AA$1,$B15)</f>
        <v>0</v>
      </c>
      <c r="AB15" s="7">
        <f ca="1">[1]!b_calc_curve_chinabond("1082",AB$1,$B15)</f>
        <v>1.5399</v>
      </c>
      <c r="AC15" s="7">
        <f ca="1">[1]!b_calc_curve_chinabond("1082",AC$1,$B15)</f>
        <v>1.5544</v>
      </c>
      <c r="AD15" s="7">
        <f ca="1">[1]!b_calc_curve_chinabond("1082",AD$1,$B15)</f>
        <v>1.54</v>
      </c>
      <c r="AE15" s="7">
        <f ca="1">[1]!b_calc_curve_chinabond("1082",AE$1,$B15)</f>
        <v>1.53</v>
      </c>
      <c r="AF15" s="7">
        <f ca="1">[1]!b_calc_curve_chinabond("1082",AF$1,$B15)</f>
        <v>0</v>
      </c>
      <c r="AG15" s="7">
        <f ca="1">[1]!b_calc_curve_chinabond("1082",AG$1,$B15)</f>
        <v>0</v>
      </c>
      <c r="AH15" s="7">
        <f ca="1">[1]!b_calc_curve_chinabond("1082",AH$1,$B15)</f>
        <v>0</v>
      </c>
      <c r="AI15" s="7">
        <f ca="1">[1]!b_calc_curve_chinabond("1082",AI$1,$B15)</f>
        <v>0</v>
      </c>
    </row>
    <row r="16" spans="1:35" ht="19.5" customHeight="1">
      <c r="A16" s="1" t="s">
        <v>16</v>
      </c>
      <c r="B16" s="2">
        <v>0.8</v>
      </c>
      <c r="C16" s="7">
        <f ca="1">[1]!b_calc_curve_chinabond("1082",C$1,$B16)</f>
        <v>1.4847999999999999</v>
      </c>
      <c r="D16" s="7">
        <f ca="1">[1]!b_calc_curve_chinabond("1082",D$1,$B16)</f>
        <v>1.4796</v>
      </c>
      <c r="E16" s="7">
        <f ca="1">[1]!b_calc_curve_chinabond("1082",E$1,$B16)</f>
        <v>0</v>
      </c>
      <c r="F16" s="7">
        <f ca="1">[1]!b_calc_curve_chinabond("1082",F$1,$B16)</f>
        <v>0</v>
      </c>
      <c r="G16" s="7">
        <f ca="1">[1]!b_calc_curve_chinabond("1082",G$1,$B16)</f>
        <v>1.4722999999999999</v>
      </c>
      <c r="H16" s="7">
        <f ca="1">[1]!b_calc_curve_chinabond("1082",H$1,$B16)</f>
        <v>1.4630000000000001</v>
      </c>
      <c r="I16" s="7">
        <f ca="1">[1]!b_calc_curve_chinabond("1082",I$1,$B16)</f>
        <v>1.4621999999999999</v>
      </c>
      <c r="J16" s="7">
        <f ca="1">[1]!b_calc_curve_chinabond("1082",J$1,$B16)</f>
        <v>1.4746999999999999</v>
      </c>
      <c r="K16" s="7">
        <f ca="1">[1]!b_calc_curve_chinabond("1082",K$1,$B16)</f>
        <v>1.4738</v>
      </c>
      <c r="L16" s="7">
        <f ca="1">[1]!b_calc_curve_chinabond("1082",L$1,$B16)</f>
        <v>0</v>
      </c>
      <c r="M16" s="7">
        <f ca="1">[1]!b_calc_curve_chinabond("1082",M$1,$B16)</f>
        <v>0</v>
      </c>
      <c r="N16" s="7">
        <f ca="1">[1]!b_calc_curve_chinabond("1082",N$1,$B16)</f>
        <v>1.4749000000000001</v>
      </c>
      <c r="O16" s="7">
        <f ca="1">[1]!b_calc_curve_chinabond("1082",O$1,$B16)</f>
        <v>1.4670000000000001</v>
      </c>
      <c r="P16" s="7">
        <f ca="1">[1]!b_calc_curve_chinabond("1082",P$1,$B16)</f>
        <v>1.4758</v>
      </c>
      <c r="Q16" s="7">
        <f ca="1">[1]!b_calc_curve_chinabond("1082",Q$1,$B16)</f>
        <v>1.4785999999999999</v>
      </c>
      <c r="R16" s="7">
        <f ca="1">[1]!b_calc_curve_chinabond("1082",R$1,$B16)</f>
        <v>1.4817</v>
      </c>
      <c r="S16" s="7">
        <f ca="1">[1]!b_calc_curve_chinabond("1082",S$1,$B16)</f>
        <v>0</v>
      </c>
      <c r="T16" s="7">
        <f ca="1">[1]!b_calc_curve_chinabond("1082",T$1,$B16)</f>
        <v>0</v>
      </c>
      <c r="U16" s="7">
        <f ca="1">[1]!b_calc_curve_chinabond("1082",U$1,$B16)</f>
        <v>1.4849000000000001</v>
      </c>
      <c r="V16" s="7">
        <f ca="1">[1]!b_calc_curve_chinabond("1082",V$1,$B16)</f>
        <v>1.4938</v>
      </c>
      <c r="W16" s="7">
        <f ca="1">[1]!b_calc_curve_chinabond("1082",W$1,$B16)</f>
        <v>1.5041</v>
      </c>
      <c r="X16" s="7">
        <f ca="1">[1]!b_calc_curve_chinabond("1082",X$1,$B16)</f>
        <v>1.5237000000000001</v>
      </c>
      <c r="Y16" s="7">
        <f ca="1">[1]!b_calc_curve_chinabond("1082",Y$1,$B16)</f>
        <v>1.5425</v>
      </c>
      <c r="Z16" s="7">
        <f ca="1">[1]!b_calc_curve_chinabond("1082",Z$1,$B16)</f>
        <v>0</v>
      </c>
      <c r="AA16" s="7">
        <f ca="1">[1]!b_calc_curve_chinabond("1082",AA$1,$B16)</f>
        <v>0</v>
      </c>
      <c r="AB16" s="7">
        <f ca="1">[1]!b_calc_curve_chinabond("1082",AB$1,$B16)</f>
        <v>1.5422</v>
      </c>
      <c r="AC16" s="7">
        <f ca="1">[1]!b_calc_curve_chinabond("1082",AC$1,$B16)</f>
        <v>1.5569999999999999</v>
      </c>
      <c r="AD16" s="7">
        <f ca="1">[1]!b_calc_curve_chinabond("1082",AD$1,$B16)</f>
        <v>1.5426</v>
      </c>
      <c r="AE16" s="7">
        <f ca="1">[1]!b_calc_curve_chinabond("1082",AE$1,$B16)</f>
        <v>1.5318000000000001</v>
      </c>
      <c r="AF16" s="7">
        <f ca="1">[1]!b_calc_curve_chinabond("1082",AF$1,$B16)</f>
        <v>0</v>
      </c>
      <c r="AG16" s="7">
        <f ca="1">[1]!b_calc_curve_chinabond("1082",AG$1,$B16)</f>
        <v>0</v>
      </c>
      <c r="AH16" s="7">
        <f ca="1">[1]!b_calc_curve_chinabond("1082",AH$1,$B16)</f>
        <v>0</v>
      </c>
      <c r="AI16" s="7">
        <f ca="1">[1]!b_calc_curve_chinabond("1082",AI$1,$B16)</f>
        <v>0</v>
      </c>
    </row>
    <row r="17" spans="1:35" ht="19.5" customHeight="1">
      <c r="A17" s="3" t="s">
        <v>17</v>
      </c>
      <c r="B17" s="4">
        <v>0.9</v>
      </c>
      <c r="C17" s="7">
        <f ca="1">[1]!b_calc_curve_chinabond("1082",C$1,$B17)</f>
        <v>1.5015000000000001</v>
      </c>
      <c r="D17" s="7">
        <f ca="1">[1]!b_calc_curve_chinabond("1082",D$1,$B17)</f>
        <v>1.4963</v>
      </c>
      <c r="E17" s="7">
        <f ca="1">[1]!b_calc_curve_chinabond("1082",E$1,$B17)</f>
        <v>0</v>
      </c>
      <c r="F17" s="7">
        <f ca="1">[1]!b_calc_curve_chinabond("1082",F$1,$B17)</f>
        <v>0</v>
      </c>
      <c r="G17" s="7">
        <f ca="1">[1]!b_calc_curve_chinabond("1082",G$1,$B17)</f>
        <v>1.4901</v>
      </c>
      <c r="H17" s="7">
        <f ca="1">[1]!b_calc_curve_chinabond("1082",H$1,$B17)</f>
        <v>1.4849000000000001</v>
      </c>
      <c r="I17" s="7">
        <f ca="1">[1]!b_calc_curve_chinabond("1082",I$1,$B17)</f>
        <v>1.4790000000000001</v>
      </c>
      <c r="J17" s="7">
        <f ca="1">[1]!b_calc_curve_chinabond("1082",J$1,$B17)</f>
        <v>1.4833000000000001</v>
      </c>
      <c r="K17" s="7">
        <f ca="1">[1]!b_calc_curve_chinabond("1082",K$1,$B17)</f>
        <v>1.4803999999999999</v>
      </c>
      <c r="L17" s="7">
        <f ca="1">[1]!b_calc_curve_chinabond("1082",L$1,$B17)</f>
        <v>0</v>
      </c>
      <c r="M17" s="7">
        <f ca="1">[1]!b_calc_curve_chinabond("1082",M$1,$B17)</f>
        <v>0</v>
      </c>
      <c r="N17" s="7">
        <f ca="1">[1]!b_calc_curve_chinabond("1082",N$1,$B17)</f>
        <v>1.4835</v>
      </c>
      <c r="O17" s="7">
        <f ca="1">[1]!b_calc_curve_chinabond("1082",O$1,$B17)</f>
        <v>1.478</v>
      </c>
      <c r="P17" s="7">
        <f ca="1">[1]!b_calc_curve_chinabond("1082",P$1,$B17)</f>
        <v>1.4829000000000001</v>
      </c>
      <c r="Q17" s="7">
        <f ca="1">[1]!b_calc_curve_chinabond("1082",Q$1,$B17)</f>
        <v>1.4855</v>
      </c>
      <c r="R17" s="7">
        <f ca="1">[1]!b_calc_curve_chinabond("1082",R$1,$B17)</f>
        <v>1.4843999999999999</v>
      </c>
      <c r="S17" s="7">
        <f ca="1">[1]!b_calc_curve_chinabond("1082",S$1,$B17)</f>
        <v>0</v>
      </c>
      <c r="T17" s="7">
        <f ca="1">[1]!b_calc_curve_chinabond("1082",T$1,$B17)</f>
        <v>0</v>
      </c>
      <c r="U17" s="7">
        <f ca="1">[1]!b_calc_curve_chinabond("1082",U$1,$B17)</f>
        <v>1.498</v>
      </c>
      <c r="V17" s="7">
        <f ca="1">[1]!b_calc_curve_chinabond("1082",V$1,$B17)</f>
        <v>1.5089999999999999</v>
      </c>
      <c r="W17" s="7">
        <f ca="1">[1]!b_calc_curve_chinabond("1082",W$1,$B17)</f>
        <v>1.5205</v>
      </c>
      <c r="X17" s="7">
        <f ca="1">[1]!b_calc_curve_chinabond("1082",X$1,$B17)</f>
        <v>1.5387999999999999</v>
      </c>
      <c r="Y17" s="7">
        <f ca="1">[1]!b_calc_curve_chinabond("1082",Y$1,$B17)</f>
        <v>1.5580000000000001</v>
      </c>
      <c r="Z17" s="7">
        <f ca="1">[1]!b_calc_curve_chinabond("1082",Z$1,$B17)</f>
        <v>0</v>
      </c>
      <c r="AA17" s="7">
        <f ca="1">[1]!b_calc_curve_chinabond("1082",AA$1,$B17)</f>
        <v>0</v>
      </c>
      <c r="AB17" s="7">
        <f ca="1">[1]!b_calc_curve_chinabond("1082",AB$1,$B17)</f>
        <v>1.5559000000000001</v>
      </c>
      <c r="AC17" s="7">
        <f ca="1">[1]!b_calc_curve_chinabond("1082",AC$1,$B17)</f>
        <v>1.5613999999999999</v>
      </c>
      <c r="AD17" s="7">
        <f ca="1">[1]!b_calc_curve_chinabond("1082",AD$1,$B17)</f>
        <v>1.5505</v>
      </c>
      <c r="AE17" s="7">
        <f ca="1">[1]!b_calc_curve_chinabond("1082",AE$1,$B17)</f>
        <v>1.5427999999999999</v>
      </c>
      <c r="AF17" s="7">
        <f ca="1">[1]!b_calc_curve_chinabond("1082",AF$1,$B17)</f>
        <v>0</v>
      </c>
      <c r="AG17" s="7">
        <f ca="1">[1]!b_calc_curve_chinabond("1082",AG$1,$B17)</f>
        <v>0</v>
      </c>
      <c r="AH17" s="7">
        <f ca="1">[1]!b_calc_curve_chinabond("1082",AH$1,$B17)</f>
        <v>0</v>
      </c>
      <c r="AI17" s="7">
        <f ca="1">[1]!b_calc_curve_chinabond("1082",AI$1,$B17)</f>
        <v>0</v>
      </c>
    </row>
    <row r="18" spans="1:35" ht="19.5" customHeight="1">
      <c r="A18" s="1" t="s">
        <v>18</v>
      </c>
      <c r="B18" s="2">
        <v>1</v>
      </c>
      <c r="C18" s="7">
        <f ca="1">[1]!b_calc_curve_chinabond("1082",C$1,$B18)</f>
        <v>1.5184</v>
      </c>
      <c r="D18" s="7">
        <f ca="1">[1]!b_calc_curve_chinabond("1082",D$1,$B18)</f>
        <v>1.5132000000000001</v>
      </c>
      <c r="E18" s="7">
        <f ca="1">[1]!b_calc_curve_chinabond("1082",E$1,$B18)</f>
        <v>0</v>
      </c>
      <c r="F18" s="7">
        <f ca="1">[1]!b_calc_curve_chinabond("1082",F$1,$B18)</f>
        <v>0</v>
      </c>
      <c r="G18" s="7">
        <f ca="1">[1]!b_calc_curve_chinabond("1082",G$1,$B18)</f>
        <v>1.5086999999999999</v>
      </c>
      <c r="H18" s="7">
        <f ca="1">[1]!b_calc_curve_chinabond("1082",H$1,$B18)</f>
        <v>1.5086999999999999</v>
      </c>
      <c r="I18" s="7">
        <f ca="1">[1]!b_calc_curve_chinabond("1082",I$1,$B18)</f>
        <v>1.4967999999999999</v>
      </c>
      <c r="J18" s="7">
        <f ca="1">[1]!b_calc_curve_chinabond("1082",J$1,$B18)</f>
        <v>1.4912000000000001</v>
      </c>
      <c r="K18" s="7">
        <f ca="1">[1]!b_calc_curve_chinabond("1082",K$1,$B18)</f>
        <v>1.4863</v>
      </c>
      <c r="L18" s="7">
        <f ca="1">[1]!b_calc_curve_chinabond("1082",L$1,$B18)</f>
        <v>0</v>
      </c>
      <c r="M18" s="7">
        <f ca="1">[1]!b_calc_curve_chinabond("1082",M$1,$B18)</f>
        <v>0</v>
      </c>
      <c r="N18" s="7">
        <f ca="1">[1]!b_calc_curve_chinabond("1082",N$1,$B18)</f>
        <v>1.4914000000000001</v>
      </c>
      <c r="O18" s="7">
        <f ca="1">[1]!b_calc_curve_chinabond("1082",O$1,$B18)</f>
        <v>1.4887999999999999</v>
      </c>
      <c r="P18" s="7">
        <f ca="1">[1]!b_calc_curve_chinabond("1082",P$1,$B18)</f>
        <v>1.4894000000000001</v>
      </c>
      <c r="Q18" s="7">
        <f ca="1">[1]!b_calc_curve_chinabond("1082",Q$1,$B18)</f>
        <v>1.4921</v>
      </c>
      <c r="R18" s="7">
        <f ca="1">[1]!b_calc_curve_chinabond("1082",R$1,$B18)</f>
        <v>1.4863999999999999</v>
      </c>
      <c r="S18" s="7">
        <f ca="1">[1]!b_calc_curve_chinabond("1082",S$1,$B18)</f>
        <v>0</v>
      </c>
      <c r="T18" s="7">
        <f ca="1">[1]!b_calc_curve_chinabond("1082",T$1,$B18)</f>
        <v>0</v>
      </c>
      <c r="U18" s="7">
        <f ca="1">[1]!b_calc_curve_chinabond("1082",U$1,$B18)</f>
        <v>1.5118</v>
      </c>
      <c r="V18" s="7">
        <f ca="1">[1]!b_calc_curve_chinabond("1082",V$1,$B18)</f>
        <v>1.5257000000000001</v>
      </c>
      <c r="W18" s="7">
        <f ca="1">[1]!b_calc_curve_chinabond("1082",W$1,$B18)</f>
        <v>1.5387999999999999</v>
      </c>
      <c r="X18" s="7">
        <f ca="1">[1]!b_calc_curve_chinabond("1082",X$1,$B18)</f>
        <v>1.5552999999999999</v>
      </c>
      <c r="Y18" s="7">
        <f ca="1">[1]!b_calc_curve_chinabond("1082",Y$1,$B18)</f>
        <v>1.5753999999999999</v>
      </c>
      <c r="Z18" s="7">
        <f ca="1">[1]!b_calc_curve_chinabond("1082",Z$1,$B18)</f>
        <v>0</v>
      </c>
      <c r="AA18" s="7">
        <f ca="1">[1]!b_calc_curve_chinabond("1082",AA$1,$B18)</f>
        <v>0</v>
      </c>
      <c r="AB18" s="7">
        <f ca="1">[1]!b_calc_curve_chinabond("1082",AB$1,$B18)</f>
        <v>1.5716000000000001</v>
      </c>
      <c r="AC18" s="7">
        <f ca="1">[1]!b_calc_curve_chinabond("1082",AC$1,$B18)</f>
        <v>1.5656000000000001</v>
      </c>
      <c r="AD18" s="7">
        <f ca="1">[1]!b_calc_curve_chinabond("1082",AD$1,$B18)</f>
        <v>1.5589</v>
      </c>
      <c r="AE18" s="7">
        <f ca="1">[1]!b_calc_curve_chinabond("1082",AE$1,$B18)</f>
        <v>1.5553999999999999</v>
      </c>
      <c r="AF18" s="7">
        <f ca="1">[1]!b_calc_curve_chinabond("1082",AF$1,$B18)</f>
        <v>0</v>
      </c>
      <c r="AG18" s="7">
        <f ca="1">[1]!b_calc_curve_chinabond("1082",AG$1,$B18)</f>
        <v>0</v>
      </c>
      <c r="AH18" s="7">
        <f ca="1">[1]!b_calc_curve_chinabond("1082",AH$1,$B18)</f>
        <v>0</v>
      </c>
      <c r="AI18" s="7">
        <f ca="1">[1]!b_calc_curve_chinabond("1082",AI$1,$B18)</f>
        <v>0</v>
      </c>
    </row>
    <row r="19" spans="1:35" ht="19.5" customHeight="1">
      <c r="A19" s="3" t="s">
        <v>19</v>
      </c>
      <c r="B19" s="4">
        <v>1.1000000000000001</v>
      </c>
      <c r="C19" s="7">
        <f ca="1">[1]!b_calc_curve_chinabond("1082",C$1,$B19)</f>
        <v>1.5345</v>
      </c>
      <c r="D19" s="7">
        <f ca="1">[1]!b_calc_curve_chinabond("1082",D$1,$B19)</f>
        <v>1.5289999999999999</v>
      </c>
      <c r="E19" s="7">
        <f ca="1">[1]!b_calc_curve_chinabond("1082",E$1,$B19)</f>
        <v>0</v>
      </c>
      <c r="F19" s="7">
        <f ca="1">[1]!b_calc_curve_chinabond("1082",F$1,$B19)</f>
        <v>0</v>
      </c>
      <c r="G19" s="7">
        <f ca="1">[1]!b_calc_curve_chinabond("1082",G$1,$B19)</f>
        <v>1.5250999999999999</v>
      </c>
      <c r="H19" s="7">
        <f ca="1">[1]!b_calc_curve_chinabond("1082",H$1,$B19)</f>
        <v>1.5278</v>
      </c>
      <c r="I19" s="7">
        <f ca="1">[1]!b_calc_curve_chinabond("1082",I$1,$B19)</f>
        <v>1.5122</v>
      </c>
      <c r="J19" s="7">
        <f ca="1">[1]!b_calc_curve_chinabond("1082",J$1,$B19)</f>
        <v>1.5006999999999999</v>
      </c>
      <c r="K19" s="7">
        <f ca="1">[1]!b_calc_curve_chinabond("1082",K$1,$B19)</f>
        <v>1.4941</v>
      </c>
      <c r="L19" s="7">
        <f ca="1">[1]!b_calc_curve_chinabond("1082",L$1,$B19)</f>
        <v>0</v>
      </c>
      <c r="M19" s="7">
        <f ca="1">[1]!b_calc_curve_chinabond("1082",M$1,$B19)</f>
        <v>0</v>
      </c>
      <c r="N19" s="7">
        <f ca="1">[1]!b_calc_curve_chinabond("1082",N$1,$B19)</f>
        <v>1.5004999999999999</v>
      </c>
      <c r="O19" s="7">
        <f ca="1">[1]!b_calc_curve_chinabond("1082",O$1,$B19)</f>
        <v>1.4997</v>
      </c>
      <c r="P19" s="7">
        <f ca="1">[1]!b_calc_curve_chinabond("1082",P$1,$B19)</f>
        <v>1.4973000000000001</v>
      </c>
      <c r="Q19" s="7">
        <f ca="1">[1]!b_calc_curve_chinabond("1082",Q$1,$B19)</f>
        <v>1.4997</v>
      </c>
      <c r="R19" s="7">
        <f ca="1">[1]!b_calc_curve_chinabond("1082",R$1,$B19)</f>
        <v>1.4907999999999999</v>
      </c>
      <c r="S19" s="7">
        <f ca="1">[1]!b_calc_curve_chinabond("1082",S$1,$B19)</f>
        <v>0</v>
      </c>
      <c r="T19" s="7">
        <f ca="1">[1]!b_calc_curve_chinabond("1082",T$1,$B19)</f>
        <v>0</v>
      </c>
      <c r="U19" s="7">
        <f ca="1">[1]!b_calc_curve_chinabond("1082",U$1,$B19)</f>
        <v>1.5239</v>
      </c>
      <c r="V19" s="7">
        <f ca="1">[1]!b_calc_curve_chinabond("1082",V$1,$B19)</f>
        <v>1.5396000000000001</v>
      </c>
      <c r="W19" s="7">
        <f ca="1">[1]!b_calc_curve_chinabond("1082",W$1,$B19)</f>
        <v>1.5535000000000001</v>
      </c>
      <c r="X19" s="7">
        <f ca="1">[1]!b_calc_curve_chinabond("1082",X$1,$B19)</f>
        <v>1.5692999999999999</v>
      </c>
      <c r="Y19" s="7">
        <f ca="1">[1]!b_calc_curve_chinabond("1082",Y$1,$B19)</f>
        <v>1.5891999999999999</v>
      </c>
      <c r="Z19" s="7">
        <f ca="1">[1]!b_calc_curve_chinabond("1082",Z$1,$B19)</f>
        <v>0</v>
      </c>
      <c r="AA19" s="7">
        <f ca="1">[1]!b_calc_curve_chinabond("1082",AA$1,$B19)</f>
        <v>0</v>
      </c>
      <c r="AB19" s="7">
        <f ca="1">[1]!b_calc_curve_chinabond("1082",AB$1,$B19)</f>
        <v>1.5838000000000001</v>
      </c>
      <c r="AC19" s="7">
        <f ca="1">[1]!b_calc_curve_chinabond("1082",AC$1,$B19)</f>
        <v>1.5711999999999999</v>
      </c>
      <c r="AD19" s="7">
        <f ca="1">[1]!b_calc_curve_chinabond("1082",AD$1,$B19)</f>
        <v>1.5668</v>
      </c>
      <c r="AE19" s="7">
        <f ca="1">[1]!b_calc_curve_chinabond("1082",AE$1,$B19)</f>
        <v>1.5652999999999999</v>
      </c>
      <c r="AF19" s="7">
        <f ca="1">[1]!b_calc_curve_chinabond("1082",AF$1,$B19)</f>
        <v>0</v>
      </c>
      <c r="AG19" s="7">
        <f ca="1">[1]!b_calc_curve_chinabond("1082",AG$1,$B19)</f>
        <v>0</v>
      </c>
      <c r="AH19" s="7">
        <f ca="1">[1]!b_calc_curve_chinabond("1082",AH$1,$B19)</f>
        <v>0</v>
      </c>
      <c r="AI19" s="7">
        <f ca="1">[1]!b_calc_curve_chinabond("1082",AI$1,$B19)</f>
        <v>0</v>
      </c>
    </row>
    <row r="20" spans="1:35" ht="19.5" customHeight="1">
      <c r="A20" s="1" t="s">
        <v>20</v>
      </c>
      <c r="B20" s="2">
        <v>1.2</v>
      </c>
      <c r="C20" s="7">
        <f ca="1">[1]!b_calc_curve_chinabond("1082",C$1,$B20)</f>
        <v>1.5494000000000001</v>
      </c>
      <c r="D20" s="7">
        <f ca="1">[1]!b_calc_curve_chinabond("1082",D$1,$B20)</f>
        <v>1.5436000000000001</v>
      </c>
      <c r="E20" s="7">
        <f ca="1">[1]!b_calc_curve_chinabond("1082",E$1,$B20)</f>
        <v>0</v>
      </c>
      <c r="F20" s="7">
        <f ca="1">[1]!b_calc_curve_chinabond("1082",F$1,$B20)</f>
        <v>0</v>
      </c>
      <c r="G20" s="7">
        <f ca="1">[1]!b_calc_curve_chinabond("1082",G$1,$B20)</f>
        <v>1.5399</v>
      </c>
      <c r="H20" s="7">
        <f ca="1">[1]!b_calc_curve_chinabond("1082",H$1,$B20)</f>
        <v>1.5438000000000001</v>
      </c>
      <c r="I20" s="7">
        <f ca="1">[1]!b_calc_curve_chinabond("1082",I$1,$B20)</f>
        <v>1.5261</v>
      </c>
      <c r="J20" s="7">
        <f ca="1">[1]!b_calc_curve_chinabond("1082",J$1,$B20)</f>
        <v>1.5108999999999999</v>
      </c>
      <c r="K20" s="7">
        <f ca="1">[1]!b_calc_curve_chinabond("1082",K$1,$B20)</f>
        <v>1.5036</v>
      </c>
      <c r="L20" s="7">
        <f ca="1">[1]!b_calc_curve_chinabond("1082",L$1,$B20)</f>
        <v>0</v>
      </c>
      <c r="M20" s="7">
        <f ca="1">[1]!b_calc_curve_chinabond("1082",M$1,$B20)</f>
        <v>0</v>
      </c>
      <c r="N20" s="7">
        <f ca="1">[1]!b_calc_curve_chinabond("1082",N$1,$B20)</f>
        <v>1.51</v>
      </c>
      <c r="O20" s="7">
        <f ca="1">[1]!b_calc_curve_chinabond("1082",O$1,$B20)</f>
        <v>1.5102</v>
      </c>
      <c r="P20" s="7">
        <f ca="1">[1]!b_calc_curve_chinabond("1082",P$1,$B20)</f>
        <v>1.5061</v>
      </c>
      <c r="Q20" s="7">
        <f ca="1">[1]!b_calc_curve_chinabond("1082",Q$1,$B20)</f>
        <v>1.5082</v>
      </c>
      <c r="R20" s="7">
        <f ca="1">[1]!b_calc_curve_chinabond("1082",R$1,$B20)</f>
        <v>1.4977</v>
      </c>
      <c r="S20" s="7">
        <f ca="1">[1]!b_calc_curve_chinabond("1082",S$1,$B20)</f>
        <v>0</v>
      </c>
      <c r="T20" s="7">
        <f ca="1">[1]!b_calc_curve_chinabond("1082",T$1,$B20)</f>
        <v>0</v>
      </c>
      <c r="U20" s="7">
        <f ca="1">[1]!b_calc_curve_chinabond("1082",U$1,$B20)</f>
        <v>1.5349999999999999</v>
      </c>
      <c r="V20" s="7">
        <f ca="1">[1]!b_calc_curve_chinabond("1082",V$1,$B20)</f>
        <v>1.5522</v>
      </c>
      <c r="W20" s="7">
        <f ca="1">[1]!b_calc_curve_chinabond("1082",W$1,$B20)</f>
        <v>1.5668</v>
      </c>
      <c r="X20" s="7">
        <f ca="1">[1]!b_calc_curve_chinabond("1082",X$1,$B20)</f>
        <v>1.5826</v>
      </c>
      <c r="Y20" s="7">
        <f ca="1">[1]!b_calc_curve_chinabond("1082",Y$1,$B20)</f>
        <v>1.6012</v>
      </c>
      <c r="Z20" s="7">
        <f ca="1">[1]!b_calc_curve_chinabond("1082",Z$1,$B20)</f>
        <v>0</v>
      </c>
      <c r="AA20" s="7">
        <f ca="1">[1]!b_calc_curve_chinabond("1082",AA$1,$B20)</f>
        <v>0</v>
      </c>
      <c r="AB20" s="7">
        <f ca="1">[1]!b_calc_curve_chinabond("1082",AB$1,$B20)</f>
        <v>1.5951</v>
      </c>
      <c r="AC20" s="7">
        <f ca="1">[1]!b_calc_curve_chinabond("1082",AC$1,$B20)</f>
        <v>1.5789</v>
      </c>
      <c r="AD20" s="7">
        <f ca="1">[1]!b_calc_curve_chinabond("1082",AD$1,$B20)</f>
        <v>1.5752999999999999</v>
      </c>
      <c r="AE20" s="7">
        <f ca="1">[1]!b_calc_curve_chinabond("1082",AE$1,$B20)</f>
        <v>1.5749</v>
      </c>
      <c r="AF20" s="7">
        <f ca="1">[1]!b_calc_curve_chinabond("1082",AF$1,$B20)</f>
        <v>0</v>
      </c>
      <c r="AG20" s="7">
        <f ca="1">[1]!b_calc_curve_chinabond("1082",AG$1,$B20)</f>
        <v>0</v>
      </c>
      <c r="AH20" s="7">
        <f ca="1">[1]!b_calc_curve_chinabond("1082",AH$1,$B20)</f>
        <v>0</v>
      </c>
      <c r="AI20" s="7">
        <f ca="1">[1]!b_calc_curve_chinabond("1082",AI$1,$B20)</f>
        <v>0</v>
      </c>
    </row>
    <row r="21" spans="1:35" ht="19.5" customHeight="1">
      <c r="A21" s="3" t="s">
        <v>21</v>
      </c>
      <c r="B21" s="4">
        <v>1.3</v>
      </c>
      <c r="C21" s="7">
        <f ca="1">[1]!b_calc_curve_chinabond("1082",C$1,$B21)</f>
        <v>1.5632999999999999</v>
      </c>
      <c r="D21" s="7">
        <f ca="1">[1]!b_calc_curve_chinabond("1082",D$1,$B21)</f>
        <v>1.5569999999999999</v>
      </c>
      <c r="E21" s="7">
        <f ca="1">[1]!b_calc_curve_chinabond("1082",E$1,$B21)</f>
        <v>0</v>
      </c>
      <c r="F21" s="7">
        <f ca="1">[1]!b_calc_curve_chinabond("1082",F$1,$B21)</f>
        <v>0</v>
      </c>
      <c r="G21" s="7">
        <f ca="1">[1]!b_calc_curve_chinabond("1082",G$1,$B21)</f>
        <v>1.5532999999999999</v>
      </c>
      <c r="H21" s="7">
        <f ca="1">[1]!b_calc_curve_chinabond("1082",H$1,$B21)</f>
        <v>1.5570999999999999</v>
      </c>
      <c r="I21" s="7">
        <f ca="1">[1]!b_calc_curve_chinabond("1082",I$1,$B21)</f>
        <v>1.5386</v>
      </c>
      <c r="J21" s="7">
        <f ca="1">[1]!b_calc_curve_chinabond("1082",J$1,$B21)</f>
        <v>1.5218</v>
      </c>
      <c r="K21" s="7">
        <f ca="1">[1]!b_calc_curve_chinabond("1082",K$1,$B21)</f>
        <v>1.5143</v>
      </c>
      <c r="L21" s="7">
        <f ca="1">[1]!b_calc_curve_chinabond("1082",L$1,$B21)</f>
        <v>0</v>
      </c>
      <c r="M21" s="7">
        <f ca="1">[1]!b_calc_curve_chinabond("1082",M$1,$B21)</f>
        <v>0</v>
      </c>
      <c r="N21" s="7">
        <f ca="1">[1]!b_calc_curve_chinabond("1082",N$1,$B21)</f>
        <v>1.5197000000000001</v>
      </c>
      <c r="O21" s="7">
        <f ca="1">[1]!b_calc_curve_chinabond("1082",O$1,$B21)</f>
        <v>1.5203</v>
      </c>
      <c r="P21" s="7">
        <f ca="1">[1]!b_calc_curve_chinabond("1082",P$1,$B21)</f>
        <v>1.5157</v>
      </c>
      <c r="Q21" s="7">
        <f ca="1">[1]!b_calc_curve_chinabond("1082",Q$1,$B21)</f>
        <v>1.5175000000000001</v>
      </c>
      <c r="R21" s="7">
        <f ca="1">[1]!b_calc_curve_chinabond("1082",R$1,$B21)</f>
        <v>1.5067999999999999</v>
      </c>
      <c r="S21" s="7">
        <f ca="1">[1]!b_calc_curve_chinabond("1082",S$1,$B21)</f>
        <v>0</v>
      </c>
      <c r="T21" s="7">
        <f ca="1">[1]!b_calc_curve_chinabond("1082",T$1,$B21)</f>
        <v>0</v>
      </c>
      <c r="U21" s="7">
        <f ca="1">[1]!b_calc_curve_chinabond("1082",U$1,$B21)</f>
        <v>1.5450999999999999</v>
      </c>
      <c r="V21" s="7">
        <f ca="1">[1]!b_calc_curve_chinabond("1082",V$1,$B21)</f>
        <v>1.5637000000000001</v>
      </c>
      <c r="W21" s="7">
        <f ca="1">[1]!b_calc_curve_chinabond("1082",W$1,$B21)</f>
        <v>1.5788</v>
      </c>
      <c r="X21" s="7">
        <f ca="1">[1]!b_calc_curve_chinabond("1082",X$1,$B21)</f>
        <v>1.5952</v>
      </c>
      <c r="Y21" s="7">
        <f ca="1">[1]!b_calc_curve_chinabond("1082",Y$1,$B21)</f>
        <v>1.6117999999999999</v>
      </c>
      <c r="Z21" s="7">
        <f ca="1">[1]!b_calc_curve_chinabond("1082",Z$1,$B21)</f>
        <v>0</v>
      </c>
      <c r="AA21" s="7">
        <f ca="1">[1]!b_calc_curve_chinabond("1082",AA$1,$B21)</f>
        <v>0</v>
      </c>
      <c r="AB21" s="7">
        <f ca="1">[1]!b_calc_curve_chinabond("1082",AB$1,$B21)</f>
        <v>1.6055999999999999</v>
      </c>
      <c r="AC21" s="7">
        <f ca="1">[1]!b_calc_curve_chinabond("1082",AC$1,$B21)</f>
        <v>1.5883</v>
      </c>
      <c r="AD21" s="7">
        <f ca="1">[1]!b_calc_curve_chinabond("1082",AD$1,$B21)</f>
        <v>1.5842000000000001</v>
      </c>
      <c r="AE21" s="7">
        <f ca="1">[1]!b_calc_curve_chinabond("1082",AE$1,$B21)</f>
        <v>1.5841000000000001</v>
      </c>
      <c r="AF21" s="7">
        <f ca="1">[1]!b_calc_curve_chinabond("1082",AF$1,$B21)</f>
        <v>0</v>
      </c>
      <c r="AG21" s="7">
        <f ca="1">[1]!b_calc_curve_chinabond("1082",AG$1,$B21)</f>
        <v>0</v>
      </c>
      <c r="AH21" s="7">
        <f ca="1">[1]!b_calc_curve_chinabond("1082",AH$1,$B21)</f>
        <v>0</v>
      </c>
      <c r="AI21" s="7">
        <f ca="1">[1]!b_calc_curve_chinabond("1082",AI$1,$B21)</f>
        <v>0</v>
      </c>
    </row>
    <row r="22" spans="1:35" ht="19.5" customHeight="1">
      <c r="A22" s="1" t="s">
        <v>22</v>
      </c>
      <c r="B22" s="2">
        <v>1.4</v>
      </c>
      <c r="C22" s="7">
        <f ca="1">[1]!b_calc_curve_chinabond("1082",C$1,$B22)</f>
        <v>1.5764</v>
      </c>
      <c r="D22" s="7">
        <f ca="1">[1]!b_calc_curve_chinabond("1082",D$1,$B22)</f>
        <v>1.5697000000000001</v>
      </c>
      <c r="E22" s="7">
        <f ca="1">[1]!b_calc_curve_chinabond("1082",E$1,$B22)</f>
        <v>0</v>
      </c>
      <c r="F22" s="7">
        <f ca="1">[1]!b_calc_curve_chinabond("1082",F$1,$B22)</f>
        <v>0</v>
      </c>
      <c r="G22" s="7">
        <f ca="1">[1]!b_calc_curve_chinabond("1082",G$1,$B22)</f>
        <v>1.5656000000000001</v>
      </c>
      <c r="H22" s="7">
        <f ca="1">[1]!b_calc_curve_chinabond("1082",H$1,$B22)</f>
        <v>1.5684</v>
      </c>
      <c r="I22" s="7">
        <f ca="1">[1]!b_calc_curve_chinabond("1082",I$1,$B22)</f>
        <v>1.55</v>
      </c>
      <c r="J22" s="7">
        <f ca="1">[1]!b_calc_curve_chinabond("1082",J$1,$B22)</f>
        <v>1.5331999999999999</v>
      </c>
      <c r="K22" s="7">
        <f ca="1">[1]!b_calc_curve_chinabond("1082",K$1,$B22)</f>
        <v>1.526</v>
      </c>
      <c r="L22" s="7">
        <f ca="1">[1]!b_calc_curve_chinabond("1082",L$1,$B22)</f>
        <v>0</v>
      </c>
      <c r="M22" s="7">
        <f ca="1">[1]!b_calc_curve_chinabond("1082",M$1,$B22)</f>
        <v>0</v>
      </c>
      <c r="N22" s="7">
        <f ca="1">[1]!b_calc_curve_chinabond("1082",N$1,$B22)</f>
        <v>1.5296000000000001</v>
      </c>
      <c r="O22" s="7">
        <f ca="1">[1]!b_calc_curve_chinabond("1082",O$1,$B22)</f>
        <v>1.5301</v>
      </c>
      <c r="P22" s="7">
        <f ca="1">[1]!b_calc_curve_chinabond("1082",P$1,$B22)</f>
        <v>1.5258</v>
      </c>
      <c r="Q22" s="7">
        <f ca="1">[1]!b_calc_curve_chinabond("1082",Q$1,$B22)</f>
        <v>1.5274000000000001</v>
      </c>
      <c r="R22" s="7">
        <f ca="1">[1]!b_calc_curve_chinabond("1082",R$1,$B22)</f>
        <v>1.5176000000000001</v>
      </c>
      <c r="S22" s="7">
        <f ca="1">[1]!b_calc_curve_chinabond("1082",S$1,$B22)</f>
        <v>0</v>
      </c>
      <c r="T22" s="7">
        <f ca="1">[1]!b_calc_curve_chinabond("1082",T$1,$B22)</f>
        <v>0</v>
      </c>
      <c r="U22" s="7">
        <f ca="1">[1]!b_calc_curve_chinabond("1082",U$1,$B22)</f>
        <v>1.5546</v>
      </c>
      <c r="V22" s="7">
        <f ca="1">[1]!b_calc_curve_chinabond("1082",V$1,$B22)</f>
        <v>1.5744</v>
      </c>
      <c r="W22" s="7">
        <f ca="1">[1]!b_calc_curve_chinabond("1082",W$1,$B22)</f>
        <v>1.5899000000000001</v>
      </c>
      <c r="X22" s="7">
        <f ca="1">[1]!b_calc_curve_chinabond("1082",X$1,$B22)</f>
        <v>1.6073</v>
      </c>
      <c r="Y22" s="7">
        <f ca="1">[1]!b_calc_curve_chinabond("1082",Y$1,$B22)</f>
        <v>1.6214</v>
      </c>
      <c r="Z22" s="7">
        <f ca="1">[1]!b_calc_curve_chinabond("1082",Z$1,$B22)</f>
        <v>0</v>
      </c>
      <c r="AA22" s="7">
        <f ca="1">[1]!b_calc_curve_chinabond("1082",AA$1,$B22)</f>
        <v>0</v>
      </c>
      <c r="AB22" s="7">
        <f ca="1">[1]!b_calc_curve_chinabond("1082",AB$1,$B22)</f>
        <v>1.6155999999999999</v>
      </c>
      <c r="AC22" s="7">
        <f ca="1">[1]!b_calc_curve_chinabond("1082",AC$1,$B22)</f>
        <v>1.599</v>
      </c>
      <c r="AD22" s="7">
        <f ca="1">[1]!b_calc_curve_chinabond("1082",AD$1,$B22)</f>
        <v>1.5935999999999999</v>
      </c>
      <c r="AE22" s="7">
        <f ca="1">[1]!b_calc_curve_chinabond("1082",AE$1,$B22)</f>
        <v>1.593</v>
      </c>
      <c r="AF22" s="7">
        <f ca="1">[1]!b_calc_curve_chinabond("1082",AF$1,$B22)</f>
        <v>0</v>
      </c>
      <c r="AG22" s="7">
        <f ca="1">[1]!b_calc_curve_chinabond("1082",AG$1,$B22)</f>
        <v>0</v>
      </c>
      <c r="AH22" s="7">
        <f ca="1">[1]!b_calc_curve_chinabond("1082",AH$1,$B22)</f>
        <v>0</v>
      </c>
      <c r="AI22" s="7">
        <f ca="1">[1]!b_calc_curve_chinabond("1082",AI$1,$B22)</f>
        <v>0</v>
      </c>
    </row>
    <row r="23" spans="1:35" ht="19.5" customHeight="1">
      <c r="A23" s="3" t="s">
        <v>23</v>
      </c>
      <c r="B23" s="4">
        <v>1.5</v>
      </c>
      <c r="C23" s="7">
        <f ca="1">[1]!b_calc_curve_chinabond("1082",C$1,$B23)</f>
        <v>1.589</v>
      </c>
      <c r="D23" s="7">
        <f ca="1">[1]!b_calc_curve_chinabond("1082",D$1,$B23)</f>
        <v>1.5817000000000001</v>
      </c>
      <c r="E23" s="7">
        <f ca="1">[1]!b_calc_curve_chinabond("1082",E$1,$B23)</f>
        <v>0</v>
      </c>
      <c r="F23" s="7">
        <f ca="1">[1]!b_calc_curve_chinabond("1082",F$1,$B23)</f>
        <v>0</v>
      </c>
      <c r="G23" s="7">
        <f ca="1">[1]!b_calc_curve_chinabond("1082",G$1,$B23)</f>
        <v>1.5770999999999999</v>
      </c>
      <c r="H23" s="7">
        <f ca="1">[1]!b_calc_curve_chinabond("1082",H$1,$B23)</f>
        <v>1.5782</v>
      </c>
      <c r="I23" s="7">
        <f ca="1">[1]!b_calc_curve_chinabond("1082",I$1,$B23)</f>
        <v>1.5607</v>
      </c>
      <c r="J23" s="7">
        <f ca="1">[1]!b_calc_curve_chinabond("1082",J$1,$B23)</f>
        <v>1.5449999999999999</v>
      </c>
      <c r="K23" s="7">
        <f ca="1">[1]!b_calc_curve_chinabond("1082",K$1,$B23)</f>
        <v>1.5385</v>
      </c>
      <c r="L23" s="7">
        <f ca="1">[1]!b_calc_curve_chinabond("1082",L$1,$B23)</f>
        <v>0</v>
      </c>
      <c r="M23" s="7">
        <f ca="1">[1]!b_calc_curve_chinabond("1082",M$1,$B23)</f>
        <v>0</v>
      </c>
      <c r="N23" s="7">
        <f ca="1">[1]!b_calc_curve_chinabond("1082",N$1,$B23)</f>
        <v>1.5397000000000001</v>
      </c>
      <c r="O23" s="7">
        <f ca="1">[1]!b_calc_curve_chinabond("1082",O$1,$B23)</f>
        <v>1.5398000000000001</v>
      </c>
      <c r="P23" s="7">
        <f ca="1">[1]!b_calc_curve_chinabond("1082",P$1,$B23)</f>
        <v>1.5364</v>
      </c>
      <c r="Q23" s="7">
        <f ca="1">[1]!b_calc_curve_chinabond("1082",Q$1,$B23)</f>
        <v>1.5378000000000001</v>
      </c>
      <c r="R23" s="7">
        <f ca="1">[1]!b_calc_curve_chinabond("1082",R$1,$B23)</f>
        <v>1.5297000000000001</v>
      </c>
      <c r="S23" s="7">
        <f ca="1">[1]!b_calc_curve_chinabond("1082",S$1,$B23)</f>
        <v>0</v>
      </c>
      <c r="T23" s="7">
        <f ca="1">[1]!b_calc_curve_chinabond("1082",T$1,$B23)</f>
        <v>0</v>
      </c>
      <c r="U23" s="7">
        <f ca="1">[1]!b_calc_curve_chinabond("1082",U$1,$B23)</f>
        <v>1.5636000000000001</v>
      </c>
      <c r="V23" s="7">
        <f ca="1">[1]!b_calc_curve_chinabond("1082",V$1,$B23)</f>
        <v>1.5845</v>
      </c>
      <c r="W23" s="7">
        <f ca="1">[1]!b_calc_curve_chinabond("1082",W$1,$B23)</f>
        <v>1.6003000000000001</v>
      </c>
      <c r="X23" s="7">
        <f ca="1">[1]!b_calc_curve_chinabond("1082",X$1,$B23)</f>
        <v>1.619</v>
      </c>
      <c r="Y23" s="7">
        <f ca="1">[1]!b_calc_curve_chinabond("1082",Y$1,$B23)</f>
        <v>1.6301000000000001</v>
      </c>
      <c r="Z23" s="7">
        <f ca="1">[1]!b_calc_curve_chinabond("1082",Z$1,$B23)</f>
        <v>0</v>
      </c>
      <c r="AA23" s="7">
        <f ca="1">[1]!b_calc_curve_chinabond("1082",AA$1,$B23)</f>
        <v>0</v>
      </c>
      <c r="AB23" s="7">
        <f ca="1">[1]!b_calc_curve_chinabond("1082",AB$1,$B23)</f>
        <v>1.6252</v>
      </c>
      <c r="AC23" s="7">
        <f ca="1">[1]!b_calc_curve_chinabond("1082",AC$1,$B23)</f>
        <v>1.6107</v>
      </c>
      <c r="AD23" s="7">
        <f ca="1">[1]!b_calc_curve_chinabond("1082",AD$1,$B23)</f>
        <v>1.6032</v>
      </c>
      <c r="AE23" s="7">
        <f ca="1">[1]!b_calc_curve_chinabond("1082",AE$1,$B23)</f>
        <v>1.6016999999999999</v>
      </c>
      <c r="AF23" s="7">
        <f ca="1">[1]!b_calc_curve_chinabond("1082",AF$1,$B23)</f>
        <v>0</v>
      </c>
      <c r="AG23" s="7">
        <f ca="1">[1]!b_calc_curve_chinabond("1082",AG$1,$B23)</f>
        <v>0</v>
      </c>
      <c r="AH23" s="7">
        <f ca="1">[1]!b_calc_curve_chinabond("1082",AH$1,$B23)</f>
        <v>0</v>
      </c>
      <c r="AI23" s="7">
        <f ca="1">[1]!b_calc_curve_chinabond("1082",AI$1,$B23)</f>
        <v>0</v>
      </c>
    </row>
    <row r="24" spans="1:35" ht="19.5" customHeight="1">
      <c r="A24" s="1" t="s">
        <v>24</v>
      </c>
      <c r="B24" s="2">
        <v>1.6</v>
      </c>
      <c r="C24" s="7">
        <f ca="1">[1]!b_calc_curve_chinabond("1082",C$1,$B24)</f>
        <v>1.6012999999999999</v>
      </c>
      <c r="D24" s="7">
        <f ca="1">[1]!b_calc_curve_chinabond("1082",D$1,$B24)</f>
        <v>1.5933999999999999</v>
      </c>
      <c r="E24" s="7">
        <f ca="1">[1]!b_calc_curve_chinabond("1082",E$1,$B24)</f>
        <v>0</v>
      </c>
      <c r="F24" s="7">
        <f ca="1">[1]!b_calc_curve_chinabond("1082",F$1,$B24)</f>
        <v>0</v>
      </c>
      <c r="G24" s="7">
        <f ca="1">[1]!b_calc_curve_chinabond("1082",G$1,$B24)</f>
        <v>1.5880000000000001</v>
      </c>
      <c r="H24" s="7">
        <f ca="1">[1]!b_calc_curve_chinabond("1082",H$1,$B24)</f>
        <v>1.5871</v>
      </c>
      <c r="I24" s="7">
        <f ca="1">[1]!b_calc_curve_chinabond("1082",I$1,$B24)</f>
        <v>1.571</v>
      </c>
      <c r="J24" s="7">
        <f ca="1">[1]!b_calc_curve_chinabond("1082",J$1,$B24)</f>
        <v>1.5569999999999999</v>
      </c>
      <c r="K24" s="7">
        <f ca="1">[1]!b_calc_curve_chinabond("1082",K$1,$B24)</f>
        <v>1.5513999999999999</v>
      </c>
      <c r="L24" s="7">
        <f ca="1">[1]!b_calc_curve_chinabond("1082",L$1,$B24)</f>
        <v>0</v>
      </c>
      <c r="M24" s="7">
        <f ca="1">[1]!b_calc_curve_chinabond("1082",M$1,$B24)</f>
        <v>0</v>
      </c>
      <c r="N24" s="7">
        <f ca="1">[1]!b_calc_curve_chinabond("1082",N$1,$B24)</f>
        <v>1.5498000000000001</v>
      </c>
      <c r="O24" s="7">
        <f ca="1">[1]!b_calc_curve_chinabond("1082",O$1,$B24)</f>
        <v>1.5492999999999999</v>
      </c>
      <c r="P24" s="7">
        <f ca="1">[1]!b_calc_curve_chinabond("1082",P$1,$B24)</f>
        <v>1.5472999999999999</v>
      </c>
      <c r="Q24" s="7">
        <f ca="1">[1]!b_calc_curve_chinabond("1082",Q$1,$B24)</f>
        <v>1.5485</v>
      </c>
      <c r="R24" s="7">
        <f ca="1">[1]!b_calc_curve_chinabond("1082",R$1,$B24)</f>
        <v>1.5425</v>
      </c>
      <c r="S24" s="7">
        <f ca="1">[1]!b_calc_curve_chinabond("1082",S$1,$B24)</f>
        <v>0</v>
      </c>
      <c r="T24" s="7">
        <f ca="1">[1]!b_calc_curve_chinabond("1082",T$1,$B24)</f>
        <v>0</v>
      </c>
      <c r="U24" s="7">
        <f ca="1">[1]!b_calc_curve_chinabond("1082",U$1,$B24)</f>
        <v>1.5722</v>
      </c>
      <c r="V24" s="7">
        <f ca="1">[1]!b_calc_curve_chinabond("1082",V$1,$B24)</f>
        <v>1.5942000000000001</v>
      </c>
      <c r="W24" s="7">
        <f ca="1">[1]!b_calc_curve_chinabond("1082",W$1,$B24)</f>
        <v>1.6103000000000001</v>
      </c>
      <c r="X24" s="7">
        <f ca="1">[1]!b_calc_curve_chinabond("1082",X$1,$B24)</f>
        <v>1.6305000000000001</v>
      </c>
      <c r="Y24" s="7">
        <f ca="1">[1]!b_calc_curve_chinabond("1082",Y$1,$B24)</f>
        <v>1.6384000000000001</v>
      </c>
      <c r="Z24" s="7">
        <f ca="1">[1]!b_calc_curve_chinabond("1082",Z$1,$B24)</f>
        <v>0</v>
      </c>
      <c r="AA24" s="7">
        <f ca="1">[1]!b_calc_curve_chinabond("1082",AA$1,$B24)</f>
        <v>0</v>
      </c>
      <c r="AB24" s="7">
        <f ca="1">[1]!b_calc_curve_chinabond("1082",AB$1,$B24)</f>
        <v>1.6345000000000001</v>
      </c>
      <c r="AC24" s="7">
        <f ca="1">[1]!b_calc_curve_chinabond("1082",AC$1,$B24)</f>
        <v>1.623</v>
      </c>
      <c r="AD24" s="7">
        <f ca="1">[1]!b_calc_curve_chinabond("1082",AD$1,$B24)</f>
        <v>1.613</v>
      </c>
      <c r="AE24" s="7">
        <f ca="1">[1]!b_calc_curve_chinabond("1082",AE$1,$B24)</f>
        <v>1.6104000000000001</v>
      </c>
      <c r="AF24" s="7">
        <f ca="1">[1]!b_calc_curve_chinabond("1082",AF$1,$B24)</f>
        <v>0</v>
      </c>
      <c r="AG24" s="7">
        <f ca="1">[1]!b_calc_curve_chinabond("1082",AG$1,$B24)</f>
        <v>0</v>
      </c>
      <c r="AH24" s="7">
        <f ca="1">[1]!b_calc_curve_chinabond("1082",AH$1,$B24)</f>
        <v>0</v>
      </c>
      <c r="AI24" s="7">
        <f ca="1">[1]!b_calc_curve_chinabond("1082",AI$1,$B24)</f>
        <v>0</v>
      </c>
    </row>
    <row r="25" spans="1:35" ht="19.5" customHeight="1">
      <c r="A25" s="3" t="s">
        <v>25</v>
      </c>
      <c r="B25" s="4">
        <v>1.7</v>
      </c>
      <c r="C25" s="7">
        <f ca="1">[1]!b_calc_curve_chinabond("1082",C$1,$B25)</f>
        <v>1.6133999999999999</v>
      </c>
      <c r="D25" s="7">
        <f ca="1">[1]!b_calc_curve_chinabond("1082",D$1,$B25)</f>
        <v>1.6048</v>
      </c>
      <c r="E25" s="7">
        <f ca="1">[1]!b_calc_curve_chinabond("1082",E$1,$B25)</f>
        <v>0</v>
      </c>
      <c r="F25" s="7">
        <f ca="1">[1]!b_calc_curve_chinabond("1082",F$1,$B25)</f>
        <v>0</v>
      </c>
      <c r="G25" s="7">
        <f ca="1">[1]!b_calc_curve_chinabond("1082",G$1,$B25)</f>
        <v>1.5988</v>
      </c>
      <c r="H25" s="7">
        <f ca="1">[1]!b_calc_curve_chinabond("1082",H$1,$B25)</f>
        <v>1.5955999999999999</v>
      </c>
      <c r="I25" s="7">
        <f ca="1">[1]!b_calc_curve_chinabond("1082",I$1,$B25)</f>
        <v>1.581</v>
      </c>
      <c r="J25" s="7">
        <f ca="1">[1]!b_calc_curve_chinabond("1082",J$1,$B25)</f>
        <v>1.5690999999999999</v>
      </c>
      <c r="K25" s="7">
        <f ca="1">[1]!b_calc_curve_chinabond("1082",K$1,$B25)</f>
        <v>1.5645</v>
      </c>
      <c r="L25" s="7">
        <f ca="1">[1]!b_calc_curve_chinabond("1082",L$1,$B25)</f>
        <v>0</v>
      </c>
      <c r="M25" s="7">
        <f ca="1">[1]!b_calc_curve_chinabond("1082",M$1,$B25)</f>
        <v>0</v>
      </c>
      <c r="N25" s="7">
        <f ca="1">[1]!b_calc_curve_chinabond("1082",N$1,$B25)</f>
        <v>1.56</v>
      </c>
      <c r="O25" s="7">
        <f ca="1">[1]!b_calc_curve_chinabond("1082",O$1,$B25)</f>
        <v>1.5587</v>
      </c>
      <c r="P25" s="7">
        <f ca="1">[1]!b_calc_curve_chinabond("1082",P$1,$B25)</f>
        <v>1.5582</v>
      </c>
      <c r="Q25" s="7">
        <f ca="1">[1]!b_calc_curve_chinabond("1082",Q$1,$B25)</f>
        <v>1.5591999999999999</v>
      </c>
      <c r="R25" s="7">
        <f ca="1">[1]!b_calc_curve_chinabond("1082",R$1,$B25)</f>
        <v>1.5556000000000001</v>
      </c>
      <c r="S25" s="7">
        <f ca="1">[1]!b_calc_curve_chinabond("1082",S$1,$B25)</f>
        <v>0</v>
      </c>
      <c r="T25" s="7">
        <f ca="1">[1]!b_calc_curve_chinabond("1082",T$1,$B25)</f>
        <v>0</v>
      </c>
      <c r="U25" s="7">
        <f ca="1">[1]!b_calc_curve_chinabond("1082",U$1,$B25)</f>
        <v>1.5808</v>
      </c>
      <c r="V25" s="7">
        <f ca="1">[1]!b_calc_curve_chinabond("1082",V$1,$B25)</f>
        <v>1.6037999999999999</v>
      </c>
      <c r="W25" s="7">
        <f ca="1">[1]!b_calc_curve_chinabond("1082",W$1,$B25)</f>
        <v>1.6202000000000001</v>
      </c>
      <c r="X25" s="7">
        <f ca="1">[1]!b_calc_curve_chinabond("1082",X$1,$B25)</f>
        <v>1.6418999999999999</v>
      </c>
      <c r="Y25" s="7">
        <f ca="1">[1]!b_calc_curve_chinabond("1082",Y$1,$B25)</f>
        <v>1.6464000000000001</v>
      </c>
      <c r="Z25" s="7">
        <f ca="1">[1]!b_calc_curve_chinabond("1082",Z$1,$B25)</f>
        <v>0</v>
      </c>
      <c r="AA25" s="7">
        <f ca="1">[1]!b_calc_curve_chinabond("1082",AA$1,$B25)</f>
        <v>0</v>
      </c>
      <c r="AB25" s="7">
        <f ca="1">[1]!b_calc_curve_chinabond("1082",AB$1,$B25)</f>
        <v>1.6436999999999999</v>
      </c>
      <c r="AC25" s="7">
        <f ca="1">[1]!b_calc_curve_chinabond("1082",AC$1,$B25)</f>
        <v>1.6355</v>
      </c>
      <c r="AD25" s="7">
        <f ca="1">[1]!b_calc_curve_chinabond("1082",AD$1,$B25)</f>
        <v>1.6229</v>
      </c>
      <c r="AE25" s="7">
        <f ca="1">[1]!b_calc_curve_chinabond("1082",AE$1,$B25)</f>
        <v>1.6189</v>
      </c>
      <c r="AF25" s="7">
        <f ca="1">[1]!b_calc_curve_chinabond("1082",AF$1,$B25)</f>
        <v>0</v>
      </c>
      <c r="AG25" s="7">
        <f ca="1">[1]!b_calc_curve_chinabond("1082",AG$1,$B25)</f>
        <v>0</v>
      </c>
      <c r="AH25" s="7">
        <f ca="1">[1]!b_calc_curve_chinabond("1082",AH$1,$B25)</f>
        <v>0</v>
      </c>
      <c r="AI25" s="7">
        <f ca="1">[1]!b_calc_curve_chinabond("1082",AI$1,$B25)</f>
        <v>0</v>
      </c>
    </row>
    <row r="26" spans="1:35" ht="19.5" customHeight="1">
      <c r="A26" s="1" t="s">
        <v>26</v>
      </c>
      <c r="B26" s="2">
        <v>1.8</v>
      </c>
      <c r="C26" s="7">
        <f ca="1">[1]!b_calc_curve_chinabond("1082",C$1,$B26)</f>
        <v>1.6254999999999999</v>
      </c>
      <c r="D26" s="7">
        <f ca="1">[1]!b_calc_curve_chinabond("1082",D$1,$B26)</f>
        <v>1.6164000000000001</v>
      </c>
      <c r="E26" s="7">
        <f ca="1">[1]!b_calc_curve_chinabond("1082",E$1,$B26)</f>
        <v>0</v>
      </c>
      <c r="F26" s="7">
        <f ca="1">[1]!b_calc_curve_chinabond("1082",F$1,$B26)</f>
        <v>0</v>
      </c>
      <c r="G26" s="7">
        <f ca="1">[1]!b_calc_curve_chinabond("1082",G$1,$B26)</f>
        <v>1.6096999999999999</v>
      </c>
      <c r="H26" s="7">
        <f ca="1">[1]!b_calc_curve_chinabond("1082",H$1,$B26)</f>
        <v>1.6043000000000001</v>
      </c>
      <c r="I26" s="7">
        <f ca="1">[1]!b_calc_curve_chinabond("1082",I$1,$B26)</f>
        <v>1.5911</v>
      </c>
      <c r="J26" s="7">
        <f ca="1">[1]!b_calc_curve_chinabond("1082",J$1,$B26)</f>
        <v>1.5810999999999999</v>
      </c>
      <c r="K26" s="7">
        <f ca="1">[1]!b_calc_curve_chinabond("1082",K$1,$B26)</f>
        <v>1.5774999999999999</v>
      </c>
      <c r="L26" s="7">
        <f ca="1">[1]!b_calc_curve_chinabond("1082",L$1,$B26)</f>
        <v>0</v>
      </c>
      <c r="M26" s="7">
        <f ca="1">[1]!b_calc_curve_chinabond("1082",M$1,$B26)</f>
        <v>0</v>
      </c>
      <c r="N26" s="7">
        <f ca="1">[1]!b_calc_curve_chinabond("1082",N$1,$B26)</f>
        <v>1.5702</v>
      </c>
      <c r="O26" s="7">
        <f ca="1">[1]!b_calc_curve_chinabond("1082",O$1,$B26)</f>
        <v>1.5682</v>
      </c>
      <c r="P26" s="7">
        <f ca="1">[1]!b_calc_curve_chinabond("1082",P$1,$B26)</f>
        <v>1.5691999999999999</v>
      </c>
      <c r="Q26" s="7">
        <f ca="1">[1]!b_calc_curve_chinabond("1082",Q$1,$B26)</f>
        <v>1.5699000000000001</v>
      </c>
      <c r="R26" s="7">
        <f ca="1">[1]!b_calc_curve_chinabond("1082",R$1,$B26)</f>
        <v>1.5685</v>
      </c>
      <c r="S26" s="7">
        <f ca="1">[1]!b_calc_curve_chinabond("1082",S$1,$B26)</f>
        <v>0</v>
      </c>
      <c r="T26" s="7">
        <f ca="1">[1]!b_calc_curve_chinabond("1082",T$1,$B26)</f>
        <v>0</v>
      </c>
      <c r="U26" s="7">
        <f ca="1">[1]!b_calc_curve_chinabond("1082",U$1,$B26)</f>
        <v>1.5892999999999999</v>
      </c>
      <c r="V26" s="7">
        <f ca="1">[1]!b_calc_curve_chinabond("1082",V$1,$B26)</f>
        <v>1.6134999999999999</v>
      </c>
      <c r="W26" s="7">
        <f ca="1">[1]!b_calc_curve_chinabond("1082",W$1,$B26)</f>
        <v>1.6301000000000001</v>
      </c>
      <c r="X26" s="7">
        <f ca="1">[1]!b_calc_curve_chinabond("1082",X$1,$B26)</f>
        <v>1.6534</v>
      </c>
      <c r="Y26" s="7">
        <f ca="1">[1]!b_calc_curve_chinabond("1082",Y$1,$B26)</f>
        <v>1.6546000000000001</v>
      </c>
      <c r="Z26" s="7">
        <f ca="1">[1]!b_calc_curve_chinabond("1082",Z$1,$B26)</f>
        <v>0</v>
      </c>
      <c r="AA26" s="7">
        <f ca="1">[1]!b_calc_curve_chinabond("1082",AA$1,$B26)</f>
        <v>0</v>
      </c>
      <c r="AB26" s="7">
        <f ca="1">[1]!b_calc_curve_chinabond("1082",AB$1,$B26)</f>
        <v>1.653</v>
      </c>
      <c r="AC26" s="7">
        <f ca="1">[1]!b_calc_curve_chinabond("1082",AC$1,$B26)</f>
        <v>1.6478999999999999</v>
      </c>
      <c r="AD26" s="7">
        <f ca="1">[1]!b_calc_curve_chinabond("1082",AD$1,$B26)</f>
        <v>1.6327</v>
      </c>
      <c r="AE26" s="7">
        <f ca="1">[1]!b_calc_curve_chinabond("1082",AE$1,$B26)</f>
        <v>1.6274999999999999</v>
      </c>
      <c r="AF26" s="7">
        <f ca="1">[1]!b_calc_curve_chinabond("1082",AF$1,$B26)</f>
        <v>0</v>
      </c>
      <c r="AG26" s="7">
        <f ca="1">[1]!b_calc_curve_chinabond("1082",AG$1,$B26)</f>
        <v>0</v>
      </c>
      <c r="AH26" s="7">
        <f ca="1">[1]!b_calc_curve_chinabond("1082",AH$1,$B26)</f>
        <v>0</v>
      </c>
      <c r="AI26" s="7">
        <f ca="1">[1]!b_calc_curve_chinabond("1082",AI$1,$B26)</f>
        <v>0</v>
      </c>
    </row>
    <row r="27" spans="1:35" ht="19.5" customHeight="1">
      <c r="A27" s="3" t="s">
        <v>27</v>
      </c>
      <c r="B27" s="4">
        <v>1.9</v>
      </c>
      <c r="C27" s="7">
        <f ca="1">[1]!b_calc_curve_chinabond("1082",C$1,$B27)</f>
        <v>1.6379999999999999</v>
      </c>
      <c r="D27" s="7">
        <f ca="1">[1]!b_calc_curve_chinabond("1082",D$1,$B27)</f>
        <v>1.6283000000000001</v>
      </c>
      <c r="E27" s="7">
        <f ca="1">[1]!b_calc_curve_chinabond("1082",E$1,$B27)</f>
        <v>0</v>
      </c>
      <c r="F27" s="7">
        <f ca="1">[1]!b_calc_curve_chinabond("1082",F$1,$B27)</f>
        <v>0</v>
      </c>
      <c r="G27" s="7">
        <f ca="1">[1]!b_calc_curve_chinabond("1082",G$1,$B27)</f>
        <v>1.621</v>
      </c>
      <c r="H27" s="7">
        <f ca="1">[1]!b_calc_curve_chinabond("1082",H$1,$B27)</f>
        <v>1.6136999999999999</v>
      </c>
      <c r="I27" s="7">
        <f ca="1">[1]!b_calc_curve_chinabond("1082",I$1,$B27)</f>
        <v>1.6016999999999999</v>
      </c>
      <c r="J27" s="7">
        <f ca="1">[1]!b_calc_curve_chinabond("1082",J$1,$B27)</f>
        <v>1.593</v>
      </c>
      <c r="K27" s="7">
        <f ca="1">[1]!b_calc_curve_chinabond("1082",K$1,$B27)</f>
        <v>1.5901000000000001</v>
      </c>
      <c r="L27" s="7">
        <f ca="1">[1]!b_calc_curve_chinabond("1082",L$1,$B27)</f>
        <v>0</v>
      </c>
      <c r="M27" s="7">
        <f ca="1">[1]!b_calc_curve_chinabond("1082",M$1,$B27)</f>
        <v>0</v>
      </c>
      <c r="N27" s="7">
        <f ca="1">[1]!b_calc_curve_chinabond("1082",N$1,$B27)</f>
        <v>1.5802</v>
      </c>
      <c r="O27" s="7">
        <f ca="1">[1]!b_calc_curve_chinabond("1082",O$1,$B27)</f>
        <v>1.5778000000000001</v>
      </c>
      <c r="P27" s="7">
        <f ca="1">[1]!b_calc_curve_chinabond("1082",P$1,$B27)</f>
        <v>1.5799000000000001</v>
      </c>
      <c r="Q27" s="7">
        <f ca="1">[1]!b_calc_curve_chinabond("1082",Q$1,$B27)</f>
        <v>1.5804</v>
      </c>
      <c r="R27" s="7">
        <f ca="1">[1]!b_calc_curve_chinabond("1082",R$1,$B27)</f>
        <v>1.5809</v>
      </c>
      <c r="S27" s="7">
        <f ca="1">[1]!b_calc_curve_chinabond("1082",S$1,$B27)</f>
        <v>0</v>
      </c>
      <c r="T27" s="7">
        <f ca="1">[1]!b_calc_curve_chinabond("1082",T$1,$B27)</f>
        <v>0</v>
      </c>
      <c r="U27" s="7">
        <f ca="1">[1]!b_calc_curve_chinabond("1082",U$1,$B27)</f>
        <v>1.5982000000000001</v>
      </c>
      <c r="V27" s="7">
        <f ca="1">[1]!b_calc_curve_chinabond("1082",V$1,$B27)</f>
        <v>1.6234</v>
      </c>
      <c r="W27" s="7">
        <f ca="1">[1]!b_calc_curve_chinabond("1082",W$1,$B27)</f>
        <v>1.6403000000000001</v>
      </c>
      <c r="X27" s="7">
        <f ca="1">[1]!b_calc_curve_chinabond("1082",X$1,$B27)</f>
        <v>1.665</v>
      </c>
      <c r="Y27" s="7">
        <f ca="1">[1]!b_calc_curve_chinabond("1082",Y$1,$B27)</f>
        <v>1.6631</v>
      </c>
      <c r="Z27" s="7">
        <f ca="1">[1]!b_calc_curve_chinabond("1082",Z$1,$B27)</f>
        <v>0</v>
      </c>
      <c r="AA27" s="7">
        <f ca="1">[1]!b_calc_curve_chinabond("1082",AA$1,$B27)</f>
        <v>0</v>
      </c>
      <c r="AB27" s="7">
        <f ca="1">[1]!b_calc_curve_chinabond("1082",AB$1,$B27)</f>
        <v>1.6625000000000001</v>
      </c>
      <c r="AC27" s="7">
        <f ca="1">[1]!b_calc_curve_chinabond("1082",AC$1,$B27)</f>
        <v>1.6598999999999999</v>
      </c>
      <c r="AD27" s="7">
        <f ca="1">[1]!b_calc_curve_chinabond("1082",AD$1,$B27)</f>
        <v>1.6424000000000001</v>
      </c>
      <c r="AE27" s="7">
        <f ca="1">[1]!b_calc_curve_chinabond("1082",AE$1,$B27)</f>
        <v>1.6362000000000001</v>
      </c>
      <c r="AF27" s="7">
        <f ca="1">[1]!b_calc_curve_chinabond("1082",AF$1,$B27)</f>
        <v>0</v>
      </c>
      <c r="AG27" s="7">
        <f ca="1">[1]!b_calc_curve_chinabond("1082",AG$1,$B27)</f>
        <v>0</v>
      </c>
      <c r="AH27" s="7">
        <f ca="1">[1]!b_calc_curve_chinabond("1082",AH$1,$B27)</f>
        <v>0</v>
      </c>
      <c r="AI27" s="7">
        <f ca="1">[1]!b_calc_curve_chinabond("1082",AI$1,$B27)</f>
        <v>0</v>
      </c>
    </row>
    <row r="28" spans="1:35" ht="19.5" customHeight="1">
      <c r="A28" s="1" t="s">
        <v>28</v>
      </c>
      <c r="B28" s="2">
        <v>2</v>
      </c>
      <c r="C28" s="7">
        <f ca="1">[1]!b_calc_curve_chinabond("1082",C$1,$B28)</f>
        <v>1.6509</v>
      </c>
      <c r="D28" s="7">
        <f ca="1">[1]!b_calc_curve_chinabond("1082",D$1,$B28)</f>
        <v>1.6407</v>
      </c>
      <c r="E28" s="7">
        <f ca="1">[1]!b_calc_curve_chinabond("1082",E$1,$B28)</f>
        <v>0</v>
      </c>
      <c r="F28" s="7">
        <f ca="1">[1]!b_calc_curve_chinabond("1082",F$1,$B28)</f>
        <v>0</v>
      </c>
      <c r="G28" s="7">
        <f ca="1">[1]!b_calc_curve_chinabond("1082",G$1,$B28)</f>
        <v>1.633</v>
      </c>
      <c r="H28" s="7">
        <f ca="1">[1]!b_calc_curve_chinabond("1082",H$1,$B28)</f>
        <v>1.6244000000000001</v>
      </c>
      <c r="I28" s="7">
        <f ca="1">[1]!b_calc_curve_chinabond("1082",I$1,$B28)</f>
        <v>1.6128</v>
      </c>
      <c r="J28" s="7">
        <f ca="1">[1]!b_calc_curve_chinabond("1082",J$1,$B28)</f>
        <v>1.6046</v>
      </c>
      <c r="K28" s="7">
        <f ca="1">[1]!b_calc_curve_chinabond("1082",K$1,$B28)</f>
        <v>1.6021000000000001</v>
      </c>
      <c r="L28" s="7">
        <f ca="1">[1]!b_calc_curve_chinabond("1082",L$1,$B28)</f>
        <v>0</v>
      </c>
      <c r="M28" s="7">
        <f ca="1">[1]!b_calc_curve_chinabond("1082",M$1,$B28)</f>
        <v>0</v>
      </c>
      <c r="N28" s="7">
        <f ca="1">[1]!b_calc_curve_chinabond("1082",N$1,$B28)</f>
        <v>1.5902000000000001</v>
      </c>
      <c r="O28" s="7">
        <f ca="1">[1]!b_calc_curve_chinabond("1082",O$1,$B28)</f>
        <v>1.5875999999999999</v>
      </c>
      <c r="P28" s="7">
        <f ca="1">[1]!b_calc_curve_chinabond("1082",P$1,$B28)</f>
        <v>1.5902000000000001</v>
      </c>
      <c r="Q28" s="7">
        <f ca="1">[1]!b_calc_curve_chinabond("1082",Q$1,$B28)</f>
        <v>1.5905</v>
      </c>
      <c r="R28" s="7">
        <f ca="1">[1]!b_calc_curve_chinabond("1082",R$1,$B28)</f>
        <v>1.5921000000000001</v>
      </c>
      <c r="S28" s="7">
        <f ca="1">[1]!b_calc_curve_chinabond("1082",S$1,$B28)</f>
        <v>0</v>
      </c>
      <c r="T28" s="7">
        <f ca="1">[1]!b_calc_curve_chinabond("1082",T$1,$B28)</f>
        <v>0</v>
      </c>
      <c r="U28" s="7">
        <f ca="1">[1]!b_calc_curve_chinabond("1082",U$1,$B28)</f>
        <v>1.6074999999999999</v>
      </c>
      <c r="V28" s="7">
        <f ca="1">[1]!b_calc_curve_chinabond("1082",V$1,$B28)</f>
        <v>1.6338999999999999</v>
      </c>
      <c r="W28" s="7">
        <f ca="1">[1]!b_calc_curve_chinabond("1082",W$1,$B28)</f>
        <v>1.6512</v>
      </c>
      <c r="X28" s="7">
        <f ca="1">[1]!b_calc_curve_chinabond("1082",X$1,$B28)</f>
        <v>1.677</v>
      </c>
      <c r="Y28" s="7">
        <f ca="1">[1]!b_calc_curve_chinabond("1082",Y$1,$B28)</f>
        <v>1.6722999999999999</v>
      </c>
      <c r="Z28" s="7">
        <f ca="1">[1]!b_calc_curve_chinabond("1082",Z$1,$B28)</f>
        <v>0</v>
      </c>
      <c r="AA28" s="7">
        <f ca="1">[1]!b_calc_curve_chinabond("1082",AA$1,$B28)</f>
        <v>0</v>
      </c>
      <c r="AB28" s="7">
        <f ca="1">[1]!b_calc_curve_chinabond("1082",AB$1,$B28)</f>
        <v>1.6722999999999999</v>
      </c>
      <c r="AC28" s="7">
        <f ca="1">[1]!b_calc_curve_chinabond("1082",AC$1,$B28)</f>
        <v>1.6709000000000001</v>
      </c>
      <c r="AD28" s="7">
        <f ca="1">[1]!b_calc_curve_chinabond("1082",AD$1,$B28)</f>
        <v>1.6518999999999999</v>
      </c>
      <c r="AE28" s="7">
        <f ca="1">[1]!b_calc_curve_chinabond("1082",AE$1,$B28)</f>
        <v>1.6451</v>
      </c>
      <c r="AF28" s="7">
        <f ca="1">[1]!b_calc_curve_chinabond("1082",AF$1,$B28)</f>
        <v>0</v>
      </c>
      <c r="AG28" s="7">
        <f ca="1">[1]!b_calc_curve_chinabond("1082",AG$1,$B28)</f>
        <v>0</v>
      </c>
      <c r="AH28" s="7">
        <f ca="1">[1]!b_calc_curve_chinabond("1082",AH$1,$B28)</f>
        <v>0</v>
      </c>
      <c r="AI28" s="7">
        <f ca="1">[1]!b_calc_curve_chinabond("1082",AI$1,$B28)</f>
        <v>0</v>
      </c>
    </row>
    <row r="29" spans="1:35" ht="19.5" customHeight="1">
      <c r="A29" s="3" t="s">
        <v>29</v>
      </c>
      <c r="B29" s="4">
        <v>2.1</v>
      </c>
      <c r="C29" s="7">
        <f ca="1">[1]!b_calc_curve_chinabond("1082",C$1,$B29)</f>
        <v>1.6632</v>
      </c>
      <c r="D29" s="7">
        <f ca="1">[1]!b_calc_curve_chinabond("1082",D$1,$B29)</f>
        <v>1.6527000000000001</v>
      </c>
      <c r="E29" s="7">
        <f ca="1">[1]!b_calc_curve_chinabond("1082",E$1,$B29)</f>
        <v>0</v>
      </c>
      <c r="F29" s="7">
        <f ca="1">[1]!b_calc_curve_chinabond("1082",F$1,$B29)</f>
        <v>0</v>
      </c>
      <c r="G29" s="7">
        <f ca="1">[1]!b_calc_curve_chinabond("1082",G$1,$B29)</f>
        <v>1.6447000000000001</v>
      </c>
      <c r="H29" s="7">
        <f ca="1">[1]!b_calc_curve_chinabond("1082",H$1,$B29)</f>
        <v>1.6355999999999999</v>
      </c>
      <c r="I29" s="7">
        <f ca="1">[1]!b_calc_curve_chinabond("1082",I$1,$B29)</f>
        <v>1.6241000000000001</v>
      </c>
      <c r="J29" s="7">
        <f ca="1">[1]!b_calc_curve_chinabond("1082",J$1,$B29)</f>
        <v>1.6154999999999999</v>
      </c>
      <c r="K29" s="7">
        <f ca="1">[1]!b_calc_curve_chinabond("1082",K$1,$B29)</f>
        <v>1.6132</v>
      </c>
      <c r="L29" s="7">
        <f ca="1">[1]!b_calc_curve_chinabond("1082",L$1,$B29)</f>
        <v>0</v>
      </c>
      <c r="M29" s="7">
        <f ca="1">[1]!b_calc_curve_chinabond("1082",M$1,$B29)</f>
        <v>0</v>
      </c>
      <c r="N29" s="7">
        <f ca="1">[1]!b_calc_curve_chinabond("1082",N$1,$B29)</f>
        <v>1.6</v>
      </c>
      <c r="O29" s="7">
        <f ca="1">[1]!b_calc_curve_chinabond("1082",O$1,$B29)</f>
        <v>1.5972</v>
      </c>
      <c r="P29" s="7">
        <f ca="1">[1]!b_calc_curve_chinabond("1082",P$1,$B29)</f>
        <v>1.5996999999999999</v>
      </c>
      <c r="Q29" s="7">
        <f ca="1">[1]!b_calc_curve_chinabond("1082",Q$1,$B29)</f>
        <v>1.5998000000000001</v>
      </c>
      <c r="R29" s="7">
        <f ca="1">[1]!b_calc_curve_chinabond("1082",R$1,$B29)</f>
        <v>1.6020000000000001</v>
      </c>
      <c r="S29" s="7">
        <f ca="1">[1]!b_calc_curve_chinabond("1082",S$1,$B29)</f>
        <v>0</v>
      </c>
      <c r="T29" s="7">
        <f ca="1">[1]!b_calc_curve_chinabond("1082",T$1,$B29)</f>
        <v>0</v>
      </c>
      <c r="U29" s="7">
        <f ca="1">[1]!b_calc_curve_chinabond("1082",U$1,$B29)</f>
        <v>1.6165</v>
      </c>
      <c r="V29" s="7">
        <f ca="1">[1]!b_calc_curve_chinabond("1082",V$1,$B29)</f>
        <v>1.6436999999999999</v>
      </c>
      <c r="W29" s="7">
        <f ca="1">[1]!b_calc_curve_chinabond("1082",W$1,$B29)</f>
        <v>1.6611</v>
      </c>
      <c r="X29" s="7">
        <f ca="1">[1]!b_calc_curve_chinabond("1082",X$1,$B29)</f>
        <v>1.6877</v>
      </c>
      <c r="Y29" s="7">
        <f ca="1">[1]!b_calc_curve_chinabond("1082",Y$1,$B29)</f>
        <v>1.6814</v>
      </c>
      <c r="Z29" s="7">
        <f ca="1">[1]!b_calc_curve_chinabond("1082",Z$1,$B29)</f>
        <v>0</v>
      </c>
      <c r="AA29" s="7">
        <f ca="1">[1]!b_calc_curve_chinabond("1082",AA$1,$B29)</f>
        <v>0</v>
      </c>
      <c r="AB29" s="7">
        <f ca="1">[1]!b_calc_curve_chinabond("1082",AB$1,$B29)</f>
        <v>1.6816</v>
      </c>
      <c r="AC29" s="7">
        <f ca="1">[1]!b_calc_curve_chinabond("1082",AC$1,$B29)</f>
        <v>1.6808000000000001</v>
      </c>
      <c r="AD29" s="7">
        <f ca="1">[1]!b_calc_curve_chinabond("1082",AD$1,$B29)</f>
        <v>1.6609</v>
      </c>
      <c r="AE29" s="7">
        <f ca="1">[1]!b_calc_curve_chinabond("1082",AE$1,$B29)</f>
        <v>1.6536999999999999</v>
      </c>
      <c r="AF29" s="7">
        <f ca="1">[1]!b_calc_curve_chinabond("1082",AF$1,$B29)</f>
        <v>0</v>
      </c>
      <c r="AG29" s="7">
        <f ca="1">[1]!b_calc_curve_chinabond("1082",AG$1,$B29)</f>
        <v>0</v>
      </c>
      <c r="AH29" s="7">
        <f ca="1">[1]!b_calc_curve_chinabond("1082",AH$1,$B29)</f>
        <v>0</v>
      </c>
      <c r="AI29" s="7">
        <f ca="1">[1]!b_calc_curve_chinabond("1082",AI$1,$B29)</f>
        <v>0</v>
      </c>
    </row>
    <row r="30" spans="1:35" ht="19.5" customHeight="1">
      <c r="A30" s="1" t="s">
        <v>30</v>
      </c>
      <c r="B30" s="2">
        <v>2.2000000000000002</v>
      </c>
      <c r="C30" s="7">
        <f ca="1">[1]!b_calc_curve_chinabond("1082",C$1,$B30)</f>
        <v>1.6737</v>
      </c>
      <c r="D30" s="7">
        <f ca="1">[1]!b_calc_curve_chinabond("1082",D$1,$B30)</f>
        <v>1.6633</v>
      </c>
      <c r="E30" s="7">
        <f ca="1">[1]!b_calc_curve_chinabond("1082",E$1,$B30)</f>
        <v>0</v>
      </c>
      <c r="F30" s="7">
        <f ca="1">[1]!b_calc_curve_chinabond("1082",F$1,$B30)</f>
        <v>0</v>
      </c>
      <c r="G30" s="7">
        <f ca="1">[1]!b_calc_curve_chinabond("1082",G$1,$B30)</f>
        <v>1.6552</v>
      </c>
      <c r="H30" s="7">
        <f ca="1">[1]!b_calc_curve_chinabond("1082",H$1,$B30)</f>
        <v>1.6457999999999999</v>
      </c>
      <c r="I30" s="7">
        <f ca="1">[1]!b_calc_curve_chinabond("1082",I$1,$B30)</f>
        <v>1.6346000000000001</v>
      </c>
      <c r="J30" s="7">
        <f ca="1">[1]!b_calc_curve_chinabond("1082",J$1,$B30)</f>
        <v>1.6255999999999999</v>
      </c>
      <c r="K30" s="7">
        <f ca="1">[1]!b_calc_curve_chinabond("1082",K$1,$B30)</f>
        <v>1.6234</v>
      </c>
      <c r="L30" s="7">
        <f ca="1">[1]!b_calc_curve_chinabond("1082",L$1,$B30)</f>
        <v>0</v>
      </c>
      <c r="M30" s="7">
        <f ca="1">[1]!b_calc_curve_chinabond("1082",M$1,$B30)</f>
        <v>0</v>
      </c>
      <c r="N30" s="7">
        <f ca="1">[1]!b_calc_curve_chinabond("1082",N$1,$B30)</f>
        <v>1.6095999999999999</v>
      </c>
      <c r="O30" s="7">
        <f ca="1">[1]!b_calc_curve_chinabond("1082",O$1,$B30)</f>
        <v>1.6066</v>
      </c>
      <c r="P30" s="7">
        <f ca="1">[1]!b_calc_curve_chinabond("1082",P$1,$B30)</f>
        <v>1.6084000000000001</v>
      </c>
      <c r="Q30" s="7">
        <f ca="1">[1]!b_calc_curve_chinabond("1082",Q$1,$B30)</f>
        <v>1.6083000000000001</v>
      </c>
      <c r="R30" s="7">
        <f ca="1">[1]!b_calc_curve_chinabond("1082",R$1,$B30)</f>
        <v>1.6107</v>
      </c>
      <c r="S30" s="7">
        <f ca="1">[1]!b_calc_curve_chinabond("1082",S$1,$B30)</f>
        <v>0</v>
      </c>
      <c r="T30" s="7">
        <f ca="1">[1]!b_calc_curve_chinabond("1082",T$1,$B30)</f>
        <v>0</v>
      </c>
      <c r="U30" s="7">
        <f ca="1">[1]!b_calc_curve_chinabond("1082",U$1,$B30)</f>
        <v>1.6245000000000001</v>
      </c>
      <c r="V30" s="7">
        <f ca="1">[1]!b_calc_curve_chinabond("1082",V$1,$B30)</f>
        <v>1.6515</v>
      </c>
      <c r="W30" s="7">
        <f ca="1">[1]!b_calc_curve_chinabond("1082",W$1,$B30)</f>
        <v>1.6689000000000001</v>
      </c>
      <c r="X30" s="7">
        <f ca="1">[1]!b_calc_curve_chinabond("1082",X$1,$B30)</f>
        <v>1.6958</v>
      </c>
      <c r="Y30" s="7">
        <f ca="1">[1]!b_calc_curve_chinabond("1082",Y$1,$B30)</f>
        <v>1.6893</v>
      </c>
      <c r="Z30" s="7">
        <f ca="1">[1]!b_calc_curve_chinabond("1082",Z$1,$B30)</f>
        <v>0</v>
      </c>
      <c r="AA30" s="7">
        <f ca="1">[1]!b_calc_curve_chinabond("1082",AA$1,$B30)</f>
        <v>0</v>
      </c>
      <c r="AB30" s="7">
        <f ca="1">[1]!b_calc_curve_chinabond("1082",AB$1,$B30)</f>
        <v>1.6897</v>
      </c>
      <c r="AC30" s="7">
        <f ca="1">[1]!b_calc_curve_chinabond("1082",AC$1,$B30)</f>
        <v>1.6895</v>
      </c>
      <c r="AD30" s="7">
        <f ca="1">[1]!b_calc_curve_chinabond("1082",AD$1,$B30)</f>
        <v>1.6694</v>
      </c>
      <c r="AE30" s="7">
        <f ca="1">[1]!b_calc_curve_chinabond("1082",AE$1,$B30)</f>
        <v>1.6616</v>
      </c>
      <c r="AF30" s="7">
        <f ca="1">[1]!b_calc_curve_chinabond("1082",AF$1,$B30)</f>
        <v>0</v>
      </c>
      <c r="AG30" s="7">
        <f ca="1">[1]!b_calc_curve_chinabond("1082",AG$1,$B30)</f>
        <v>0</v>
      </c>
      <c r="AH30" s="7">
        <f ca="1">[1]!b_calc_curve_chinabond("1082",AH$1,$B30)</f>
        <v>0</v>
      </c>
      <c r="AI30" s="7">
        <f ca="1">[1]!b_calc_curve_chinabond("1082",AI$1,$B30)</f>
        <v>0</v>
      </c>
    </row>
    <row r="31" spans="1:35" ht="19.5" customHeight="1">
      <c r="A31" s="3" t="s">
        <v>31</v>
      </c>
      <c r="B31" s="4">
        <v>2.2999999999999998</v>
      </c>
      <c r="C31" s="7">
        <f ca="1">[1]!b_calc_curve_chinabond("1082",C$1,$B31)</f>
        <v>1.6826000000000001</v>
      </c>
      <c r="D31" s="7">
        <f ca="1">[1]!b_calc_curve_chinabond("1082",D$1,$B31)</f>
        <v>1.6727000000000001</v>
      </c>
      <c r="E31" s="7">
        <f ca="1">[1]!b_calc_curve_chinabond("1082",E$1,$B31)</f>
        <v>0</v>
      </c>
      <c r="F31" s="7">
        <f ca="1">[1]!b_calc_curve_chinabond("1082",F$1,$B31)</f>
        <v>0</v>
      </c>
      <c r="G31" s="7">
        <f ca="1">[1]!b_calc_curve_chinabond("1082",G$1,$B31)</f>
        <v>1.6647000000000001</v>
      </c>
      <c r="H31" s="7">
        <f ca="1">[1]!b_calc_curve_chinabond("1082",H$1,$B31)</f>
        <v>1.6554</v>
      </c>
      <c r="I31" s="7">
        <f ca="1">[1]!b_calc_curve_chinabond("1082",I$1,$B31)</f>
        <v>1.6446000000000001</v>
      </c>
      <c r="J31" s="7">
        <f ca="1">[1]!b_calc_curve_chinabond("1082",J$1,$B31)</f>
        <v>1.6352</v>
      </c>
      <c r="K31" s="7">
        <f ca="1">[1]!b_calc_curve_chinabond("1082",K$1,$B31)</f>
        <v>1.6328</v>
      </c>
      <c r="L31" s="7">
        <f ca="1">[1]!b_calc_curve_chinabond("1082",L$1,$B31)</f>
        <v>0</v>
      </c>
      <c r="M31" s="7">
        <f ca="1">[1]!b_calc_curve_chinabond("1082",M$1,$B31)</f>
        <v>0</v>
      </c>
      <c r="N31" s="7">
        <f ca="1">[1]!b_calc_curve_chinabond("1082",N$1,$B31)</f>
        <v>1.619</v>
      </c>
      <c r="O31" s="7">
        <f ca="1">[1]!b_calc_curve_chinabond("1082",O$1,$B31)</f>
        <v>1.6155999999999999</v>
      </c>
      <c r="P31" s="7">
        <f ca="1">[1]!b_calc_curve_chinabond("1082",P$1,$B31)</f>
        <v>1.6162000000000001</v>
      </c>
      <c r="Q31" s="7">
        <f ca="1">[1]!b_calc_curve_chinabond("1082",Q$1,$B31)</f>
        <v>1.6160000000000001</v>
      </c>
      <c r="R31" s="7">
        <f ca="1">[1]!b_calc_curve_chinabond("1082",R$1,$B31)</f>
        <v>1.6183000000000001</v>
      </c>
      <c r="S31" s="7">
        <f ca="1">[1]!b_calc_curve_chinabond("1082",S$1,$B31)</f>
        <v>0</v>
      </c>
      <c r="T31" s="7">
        <f ca="1">[1]!b_calc_curve_chinabond("1082",T$1,$B31)</f>
        <v>0</v>
      </c>
      <c r="U31" s="7">
        <f ca="1">[1]!b_calc_curve_chinabond("1082",U$1,$B31)</f>
        <v>1.6315999999999999</v>
      </c>
      <c r="V31" s="7">
        <f ca="1">[1]!b_calc_curve_chinabond("1082",V$1,$B31)</f>
        <v>1.6577999999999999</v>
      </c>
      <c r="W31" s="7">
        <f ca="1">[1]!b_calc_curve_chinabond("1082",W$1,$B31)</f>
        <v>1.6748000000000001</v>
      </c>
      <c r="X31" s="7">
        <f ca="1">[1]!b_calc_curve_chinabond("1082",X$1,$B31)</f>
        <v>1.7017</v>
      </c>
      <c r="Y31" s="7">
        <f ca="1">[1]!b_calc_curve_chinabond("1082",Y$1,$B31)</f>
        <v>1.6962999999999999</v>
      </c>
      <c r="Z31" s="7">
        <f ca="1">[1]!b_calc_curve_chinabond("1082",Z$1,$B31)</f>
        <v>0</v>
      </c>
      <c r="AA31" s="7">
        <f ca="1">[1]!b_calc_curve_chinabond("1082",AA$1,$B31)</f>
        <v>0</v>
      </c>
      <c r="AB31" s="7">
        <f ca="1">[1]!b_calc_curve_chinabond("1082",AB$1,$B31)</f>
        <v>1.6967000000000001</v>
      </c>
      <c r="AC31" s="7">
        <f ca="1">[1]!b_calc_curve_chinabond("1082",AC$1,$B31)</f>
        <v>1.6972</v>
      </c>
      <c r="AD31" s="7">
        <f ca="1">[1]!b_calc_curve_chinabond("1082",AD$1,$B31)</f>
        <v>1.6774</v>
      </c>
      <c r="AE31" s="7">
        <f ca="1">[1]!b_calc_curve_chinabond("1082",AE$1,$B31)</f>
        <v>1.669</v>
      </c>
      <c r="AF31" s="7">
        <f ca="1">[1]!b_calc_curve_chinabond("1082",AF$1,$B31)</f>
        <v>0</v>
      </c>
      <c r="AG31" s="7">
        <f ca="1">[1]!b_calc_curve_chinabond("1082",AG$1,$B31)</f>
        <v>0</v>
      </c>
      <c r="AH31" s="7">
        <f ca="1">[1]!b_calc_curve_chinabond("1082",AH$1,$B31)</f>
        <v>0</v>
      </c>
      <c r="AI31" s="7">
        <f ca="1">[1]!b_calc_curve_chinabond("1082",AI$1,$B31)</f>
        <v>0</v>
      </c>
    </row>
    <row r="32" spans="1:35" ht="19.5" customHeight="1">
      <c r="A32" s="1" t="s">
        <v>32</v>
      </c>
      <c r="B32" s="2">
        <v>2.4</v>
      </c>
      <c r="C32" s="7">
        <f ca="1">[1]!b_calc_curve_chinabond("1082",C$1,$B32)</f>
        <v>1.6904999999999999</v>
      </c>
      <c r="D32" s="7">
        <f ca="1">[1]!b_calc_curve_chinabond("1082",D$1,$B32)</f>
        <v>1.6813</v>
      </c>
      <c r="E32" s="7">
        <f ca="1">[1]!b_calc_curve_chinabond("1082",E$1,$B32)</f>
        <v>0</v>
      </c>
      <c r="F32" s="7">
        <f ca="1">[1]!b_calc_curve_chinabond("1082",F$1,$B32)</f>
        <v>0</v>
      </c>
      <c r="G32" s="7">
        <f ca="1">[1]!b_calc_curve_chinabond("1082",G$1,$B32)</f>
        <v>1.6734</v>
      </c>
      <c r="H32" s="7">
        <f ca="1">[1]!b_calc_curve_chinabond("1082",H$1,$B32)</f>
        <v>1.6645000000000001</v>
      </c>
      <c r="I32" s="7">
        <f ca="1">[1]!b_calc_curve_chinabond("1082",I$1,$B32)</f>
        <v>1.6541999999999999</v>
      </c>
      <c r="J32" s="7">
        <f ca="1">[1]!b_calc_curve_chinabond("1082",J$1,$B32)</f>
        <v>1.6443000000000001</v>
      </c>
      <c r="K32" s="7">
        <f ca="1">[1]!b_calc_curve_chinabond("1082",K$1,$B32)</f>
        <v>1.6416999999999999</v>
      </c>
      <c r="L32" s="7">
        <f ca="1">[1]!b_calc_curve_chinabond("1082",L$1,$B32)</f>
        <v>0</v>
      </c>
      <c r="M32" s="7">
        <f ca="1">[1]!b_calc_curve_chinabond("1082",M$1,$B32)</f>
        <v>0</v>
      </c>
      <c r="N32" s="7">
        <f ca="1">[1]!b_calc_curve_chinabond("1082",N$1,$B32)</f>
        <v>1.6283000000000001</v>
      </c>
      <c r="O32" s="7">
        <f ca="1">[1]!b_calc_curve_chinabond("1082",O$1,$B32)</f>
        <v>1.6244000000000001</v>
      </c>
      <c r="P32" s="7">
        <f ca="1">[1]!b_calc_curve_chinabond("1082",P$1,$B32)</f>
        <v>1.6234</v>
      </c>
      <c r="Q32" s="7">
        <f ca="1">[1]!b_calc_curve_chinabond("1082",Q$1,$B32)</f>
        <v>1.6231</v>
      </c>
      <c r="R32" s="7">
        <f ca="1">[1]!b_calc_curve_chinabond("1082",R$1,$B32)</f>
        <v>1.6251</v>
      </c>
      <c r="S32" s="7">
        <f ca="1">[1]!b_calc_curve_chinabond("1082",S$1,$B32)</f>
        <v>0</v>
      </c>
      <c r="T32" s="7">
        <f ca="1">[1]!b_calc_curve_chinabond("1082",T$1,$B32)</f>
        <v>0</v>
      </c>
      <c r="U32" s="7">
        <f ca="1">[1]!b_calc_curve_chinabond("1082",U$1,$B32)</f>
        <v>1.6380999999999999</v>
      </c>
      <c r="V32" s="7">
        <f ca="1">[1]!b_calc_curve_chinabond("1082",V$1,$B32)</f>
        <v>1.6629</v>
      </c>
      <c r="W32" s="7">
        <f ca="1">[1]!b_calc_curve_chinabond("1082",W$1,$B32)</f>
        <v>1.6792</v>
      </c>
      <c r="X32" s="7">
        <f ca="1">[1]!b_calc_curve_chinabond("1082",X$1,$B32)</f>
        <v>1.706</v>
      </c>
      <c r="Y32" s="7">
        <f ca="1">[1]!b_calc_curve_chinabond("1082",Y$1,$B32)</f>
        <v>1.7024999999999999</v>
      </c>
      <c r="Z32" s="7">
        <f ca="1">[1]!b_calc_curve_chinabond("1082",Z$1,$B32)</f>
        <v>0</v>
      </c>
      <c r="AA32" s="7">
        <f ca="1">[1]!b_calc_curve_chinabond("1082",AA$1,$B32)</f>
        <v>0</v>
      </c>
      <c r="AB32" s="7">
        <f ca="1">[1]!b_calc_curve_chinabond("1082",AB$1,$B32)</f>
        <v>1.7028000000000001</v>
      </c>
      <c r="AC32" s="7">
        <f ca="1">[1]!b_calc_curve_chinabond("1082",AC$1,$B32)</f>
        <v>1.7040999999999999</v>
      </c>
      <c r="AD32" s="7">
        <f ca="1">[1]!b_calc_curve_chinabond("1082",AD$1,$B32)</f>
        <v>1.6851</v>
      </c>
      <c r="AE32" s="7">
        <f ca="1">[1]!b_calc_curve_chinabond("1082",AE$1,$B32)</f>
        <v>1.6759999999999999</v>
      </c>
      <c r="AF32" s="7">
        <f ca="1">[1]!b_calc_curve_chinabond("1082",AF$1,$B32)</f>
        <v>0</v>
      </c>
      <c r="AG32" s="7">
        <f ca="1">[1]!b_calc_curve_chinabond("1082",AG$1,$B32)</f>
        <v>0</v>
      </c>
      <c r="AH32" s="7">
        <f ca="1">[1]!b_calc_curve_chinabond("1082",AH$1,$B32)</f>
        <v>0</v>
      </c>
      <c r="AI32" s="7">
        <f ca="1">[1]!b_calc_curve_chinabond("1082",AI$1,$B32)</f>
        <v>0</v>
      </c>
    </row>
    <row r="33" spans="1:35" ht="19.5" customHeight="1">
      <c r="A33" s="3" t="s">
        <v>33</v>
      </c>
      <c r="B33" s="4">
        <v>2.5</v>
      </c>
      <c r="C33" s="7">
        <f ca="1">[1]!b_calc_curve_chinabond("1082",C$1,$B33)</f>
        <v>1.6974</v>
      </c>
      <c r="D33" s="7">
        <f ca="1">[1]!b_calc_curve_chinabond("1082",D$1,$B33)</f>
        <v>1.6892</v>
      </c>
      <c r="E33" s="7">
        <f ca="1">[1]!b_calc_curve_chinabond("1082",E$1,$B33)</f>
        <v>0</v>
      </c>
      <c r="F33" s="7">
        <f ca="1">[1]!b_calc_curve_chinabond("1082",F$1,$B33)</f>
        <v>0</v>
      </c>
      <c r="G33" s="7">
        <f ca="1">[1]!b_calc_curve_chinabond("1082",G$1,$B33)</f>
        <v>1.6815</v>
      </c>
      <c r="H33" s="7">
        <f ca="1">[1]!b_calc_curve_chinabond("1082",H$1,$B33)</f>
        <v>1.6731</v>
      </c>
      <c r="I33" s="7">
        <f ca="1">[1]!b_calc_curve_chinabond("1082",I$1,$B33)</f>
        <v>1.6634</v>
      </c>
      <c r="J33" s="7">
        <f ca="1">[1]!b_calc_curve_chinabond("1082",J$1,$B33)</f>
        <v>1.653</v>
      </c>
      <c r="K33" s="7">
        <f ca="1">[1]!b_calc_curve_chinabond("1082",K$1,$B33)</f>
        <v>1.6500999999999999</v>
      </c>
      <c r="L33" s="7">
        <f ca="1">[1]!b_calc_curve_chinabond("1082",L$1,$B33)</f>
        <v>0</v>
      </c>
      <c r="M33" s="7">
        <f ca="1">[1]!b_calc_curve_chinabond("1082",M$1,$B33)</f>
        <v>0</v>
      </c>
      <c r="N33" s="7">
        <f ca="1">[1]!b_calc_curve_chinabond("1082",N$1,$B33)</f>
        <v>1.6375999999999999</v>
      </c>
      <c r="O33" s="7">
        <f ca="1">[1]!b_calc_curve_chinabond("1082",O$1,$B33)</f>
        <v>1.633</v>
      </c>
      <c r="P33" s="7">
        <f ca="1">[1]!b_calc_curve_chinabond("1082",P$1,$B33)</f>
        <v>1.6303000000000001</v>
      </c>
      <c r="Q33" s="7">
        <f ca="1">[1]!b_calc_curve_chinabond("1082",Q$1,$B33)</f>
        <v>1.6297999999999999</v>
      </c>
      <c r="R33" s="7">
        <f ca="1">[1]!b_calc_curve_chinabond("1082",R$1,$B33)</f>
        <v>1.6314</v>
      </c>
      <c r="S33" s="7">
        <f ca="1">[1]!b_calc_curve_chinabond("1082",S$1,$B33)</f>
        <v>0</v>
      </c>
      <c r="T33" s="7">
        <f ca="1">[1]!b_calc_curve_chinabond("1082",T$1,$B33)</f>
        <v>0</v>
      </c>
      <c r="U33" s="7">
        <f ca="1">[1]!b_calc_curve_chinabond("1082",U$1,$B33)</f>
        <v>1.6440999999999999</v>
      </c>
      <c r="V33" s="7">
        <f ca="1">[1]!b_calc_curve_chinabond("1082",V$1,$B33)</f>
        <v>1.6671</v>
      </c>
      <c r="W33" s="7">
        <f ca="1">[1]!b_calc_curve_chinabond("1082",W$1,$B33)</f>
        <v>1.6826000000000001</v>
      </c>
      <c r="X33" s="7">
        <f ca="1">[1]!b_calc_curve_chinabond("1082",X$1,$B33)</f>
        <v>1.7090000000000001</v>
      </c>
      <c r="Y33" s="7">
        <f ca="1">[1]!b_calc_curve_chinabond("1082",Y$1,$B33)</f>
        <v>1.7081999999999999</v>
      </c>
      <c r="Z33" s="7">
        <f ca="1">[1]!b_calc_curve_chinabond("1082",Z$1,$B33)</f>
        <v>0</v>
      </c>
      <c r="AA33" s="7">
        <f ca="1">[1]!b_calc_curve_chinabond("1082",AA$1,$B33)</f>
        <v>0</v>
      </c>
      <c r="AB33" s="7">
        <f ca="1">[1]!b_calc_curve_chinabond("1082",AB$1,$B33)</f>
        <v>1.7082999999999999</v>
      </c>
      <c r="AC33" s="7">
        <f ca="1">[1]!b_calc_curve_chinabond("1082",AC$1,$B33)</f>
        <v>1.7103999999999999</v>
      </c>
      <c r="AD33" s="7">
        <f ca="1">[1]!b_calc_curve_chinabond("1082",AD$1,$B33)</f>
        <v>1.6924999999999999</v>
      </c>
      <c r="AE33" s="7">
        <f ca="1">[1]!b_calc_curve_chinabond("1082",AE$1,$B33)</f>
        <v>1.6827000000000001</v>
      </c>
      <c r="AF33" s="7">
        <f ca="1">[1]!b_calc_curve_chinabond("1082",AF$1,$B33)</f>
        <v>0</v>
      </c>
      <c r="AG33" s="7">
        <f ca="1">[1]!b_calc_curve_chinabond("1082",AG$1,$B33)</f>
        <v>0</v>
      </c>
      <c r="AH33" s="7">
        <f ca="1">[1]!b_calc_curve_chinabond("1082",AH$1,$B33)</f>
        <v>0</v>
      </c>
      <c r="AI33" s="7">
        <f ca="1">[1]!b_calc_curve_chinabond("1082",AI$1,$B33)</f>
        <v>0</v>
      </c>
    </row>
    <row r="34" spans="1:35" ht="19.5" customHeight="1">
      <c r="A34" s="1" t="s">
        <v>34</v>
      </c>
      <c r="B34" s="2">
        <v>2.6</v>
      </c>
      <c r="C34" s="7">
        <f ca="1">[1]!b_calc_curve_chinabond("1082",C$1,$B34)</f>
        <v>1.7039</v>
      </c>
      <c r="D34" s="7">
        <f ca="1">[1]!b_calc_curve_chinabond("1082",D$1,$B34)</f>
        <v>1.6966000000000001</v>
      </c>
      <c r="E34" s="7">
        <f ca="1">[1]!b_calc_curve_chinabond("1082",E$1,$B34)</f>
        <v>0</v>
      </c>
      <c r="F34" s="7">
        <f ca="1">[1]!b_calc_curve_chinabond("1082",F$1,$B34)</f>
        <v>0</v>
      </c>
      <c r="G34" s="7">
        <f ca="1">[1]!b_calc_curve_chinabond("1082",G$1,$B34)</f>
        <v>1.6893</v>
      </c>
      <c r="H34" s="7">
        <f ca="1">[1]!b_calc_curve_chinabond("1082",H$1,$B34)</f>
        <v>1.6815</v>
      </c>
      <c r="I34" s="7">
        <f ca="1">[1]!b_calc_curve_chinabond("1082",I$1,$B34)</f>
        <v>1.6725000000000001</v>
      </c>
      <c r="J34" s="7">
        <f ca="1">[1]!b_calc_curve_chinabond("1082",J$1,$B34)</f>
        <v>1.6615</v>
      </c>
      <c r="K34" s="7">
        <f ca="1">[1]!b_calc_curve_chinabond("1082",K$1,$B34)</f>
        <v>1.6583000000000001</v>
      </c>
      <c r="L34" s="7">
        <f ca="1">[1]!b_calc_curve_chinabond("1082",L$1,$B34)</f>
        <v>0</v>
      </c>
      <c r="M34" s="7">
        <f ca="1">[1]!b_calc_curve_chinabond("1082",M$1,$B34)</f>
        <v>0</v>
      </c>
      <c r="N34" s="7">
        <f ca="1">[1]!b_calc_curve_chinabond("1082",N$1,$B34)</f>
        <v>1.6467000000000001</v>
      </c>
      <c r="O34" s="7">
        <f ca="1">[1]!b_calc_curve_chinabond("1082",O$1,$B34)</f>
        <v>1.6415</v>
      </c>
      <c r="P34" s="7">
        <f ca="1">[1]!b_calc_curve_chinabond("1082",P$1,$B34)</f>
        <v>1.6368</v>
      </c>
      <c r="Q34" s="7">
        <f ca="1">[1]!b_calc_curve_chinabond("1082",Q$1,$B34)</f>
        <v>1.6363000000000001</v>
      </c>
      <c r="R34" s="7">
        <f ca="1">[1]!b_calc_curve_chinabond("1082",R$1,$B34)</f>
        <v>1.6372</v>
      </c>
      <c r="S34" s="7">
        <f ca="1">[1]!b_calc_curve_chinabond("1082",S$1,$B34)</f>
        <v>0</v>
      </c>
      <c r="T34" s="7">
        <f ca="1">[1]!b_calc_curve_chinabond("1082",T$1,$B34)</f>
        <v>0</v>
      </c>
      <c r="U34" s="7">
        <f ca="1">[1]!b_calc_curve_chinabond("1082",U$1,$B34)</f>
        <v>1.6498999999999999</v>
      </c>
      <c r="V34" s="7">
        <f ca="1">[1]!b_calc_curve_chinabond("1082",V$1,$B34)</f>
        <v>1.6707000000000001</v>
      </c>
      <c r="W34" s="7">
        <f ca="1">[1]!b_calc_curve_chinabond("1082",W$1,$B34)</f>
        <v>1.6853</v>
      </c>
      <c r="X34" s="7">
        <f ca="1">[1]!b_calc_curve_chinabond("1082",X$1,$B34)</f>
        <v>1.7112000000000001</v>
      </c>
      <c r="Y34" s="7">
        <f ca="1">[1]!b_calc_curve_chinabond("1082",Y$1,$B34)</f>
        <v>1.7135</v>
      </c>
      <c r="Z34" s="7">
        <f ca="1">[1]!b_calc_curve_chinabond("1082",Z$1,$B34)</f>
        <v>0</v>
      </c>
      <c r="AA34" s="7">
        <f ca="1">[1]!b_calc_curve_chinabond("1082",AA$1,$B34)</f>
        <v>0</v>
      </c>
      <c r="AB34" s="7">
        <f ca="1">[1]!b_calc_curve_chinabond("1082",AB$1,$B34)</f>
        <v>1.7134</v>
      </c>
      <c r="AC34" s="7">
        <f ca="1">[1]!b_calc_curve_chinabond("1082",AC$1,$B34)</f>
        <v>1.7163999999999999</v>
      </c>
      <c r="AD34" s="7">
        <f ca="1">[1]!b_calc_curve_chinabond("1082",AD$1,$B34)</f>
        <v>1.6998</v>
      </c>
      <c r="AE34" s="7">
        <f ca="1">[1]!b_calc_curve_chinabond("1082",AE$1,$B34)</f>
        <v>1.6892</v>
      </c>
      <c r="AF34" s="7">
        <f ca="1">[1]!b_calc_curve_chinabond("1082",AF$1,$B34)</f>
        <v>0</v>
      </c>
      <c r="AG34" s="7">
        <f ca="1">[1]!b_calc_curve_chinabond("1082",AG$1,$B34)</f>
        <v>0</v>
      </c>
      <c r="AH34" s="7">
        <f ca="1">[1]!b_calc_curve_chinabond("1082",AH$1,$B34)</f>
        <v>0</v>
      </c>
      <c r="AI34" s="7">
        <f ca="1">[1]!b_calc_curve_chinabond("1082",AI$1,$B34)</f>
        <v>0</v>
      </c>
    </row>
    <row r="35" spans="1:35" ht="19.5" customHeight="1">
      <c r="A35" s="3" t="s">
        <v>35</v>
      </c>
      <c r="B35" s="4">
        <v>2.7</v>
      </c>
      <c r="C35" s="7">
        <f ca="1">[1]!b_calc_curve_chinabond("1082",C$1,$B35)</f>
        <v>1.7101</v>
      </c>
      <c r="D35" s="7">
        <f ca="1">[1]!b_calc_curve_chinabond("1082",D$1,$B35)</f>
        <v>1.704</v>
      </c>
      <c r="E35" s="7">
        <f ca="1">[1]!b_calc_curve_chinabond("1082",E$1,$B35)</f>
        <v>0</v>
      </c>
      <c r="F35" s="7">
        <f ca="1">[1]!b_calc_curve_chinabond("1082",F$1,$B35)</f>
        <v>0</v>
      </c>
      <c r="G35" s="7">
        <f ca="1">[1]!b_calc_curve_chinabond("1082",G$1,$B35)</f>
        <v>1.6969000000000001</v>
      </c>
      <c r="H35" s="7">
        <f ca="1">[1]!b_calc_curve_chinabond("1082",H$1,$B35)</f>
        <v>1.6898</v>
      </c>
      <c r="I35" s="7">
        <f ca="1">[1]!b_calc_curve_chinabond("1082",I$1,$B35)</f>
        <v>1.6815</v>
      </c>
      <c r="J35" s="7">
        <f ca="1">[1]!b_calc_curve_chinabond("1082",J$1,$B35)</f>
        <v>1.67</v>
      </c>
      <c r="K35" s="7">
        <f ca="1">[1]!b_calc_curve_chinabond("1082",K$1,$B35)</f>
        <v>1.6664000000000001</v>
      </c>
      <c r="L35" s="7">
        <f ca="1">[1]!b_calc_curve_chinabond("1082",L$1,$B35)</f>
        <v>0</v>
      </c>
      <c r="M35" s="7">
        <f ca="1">[1]!b_calc_curve_chinabond("1082",M$1,$B35)</f>
        <v>0</v>
      </c>
      <c r="N35" s="7">
        <f ca="1">[1]!b_calc_curve_chinabond("1082",N$1,$B35)</f>
        <v>1.6558999999999999</v>
      </c>
      <c r="O35" s="7">
        <f ca="1">[1]!b_calc_curve_chinabond("1082",O$1,$B35)</f>
        <v>1.65</v>
      </c>
      <c r="P35" s="7">
        <f ca="1">[1]!b_calc_curve_chinabond("1082",P$1,$B35)</f>
        <v>1.6432</v>
      </c>
      <c r="Q35" s="7">
        <f ca="1">[1]!b_calc_curve_chinabond("1082",Q$1,$B35)</f>
        <v>1.6426000000000001</v>
      </c>
      <c r="R35" s="7">
        <f ca="1">[1]!b_calc_curve_chinabond("1082",R$1,$B35)</f>
        <v>1.643</v>
      </c>
      <c r="S35" s="7">
        <f ca="1">[1]!b_calc_curve_chinabond("1082",S$1,$B35)</f>
        <v>0</v>
      </c>
      <c r="T35" s="7">
        <f ca="1">[1]!b_calc_curve_chinabond("1082",T$1,$B35)</f>
        <v>0</v>
      </c>
      <c r="U35" s="7">
        <f ca="1">[1]!b_calc_curve_chinabond("1082",U$1,$B35)</f>
        <v>1.6555</v>
      </c>
      <c r="V35" s="7">
        <f ca="1">[1]!b_calc_curve_chinabond("1082",V$1,$B35)</f>
        <v>1.6740999999999999</v>
      </c>
      <c r="W35" s="7">
        <f ca="1">[1]!b_calc_curve_chinabond("1082",W$1,$B35)</f>
        <v>1.6878</v>
      </c>
      <c r="X35" s="7">
        <f ca="1">[1]!b_calc_curve_chinabond("1082",X$1,$B35)</f>
        <v>1.7131000000000001</v>
      </c>
      <c r="Y35" s="7">
        <f ca="1">[1]!b_calc_curve_chinabond("1082",Y$1,$B35)</f>
        <v>1.7186999999999999</v>
      </c>
      <c r="Z35" s="7">
        <f ca="1">[1]!b_calc_curve_chinabond("1082",Z$1,$B35)</f>
        <v>0</v>
      </c>
      <c r="AA35" s="7">
        <f ca="1">[1]!b_calc_curve_chinabond("1082",AA$1,$B35)</f>
        <v>0</v>
      </c>
      <c r="AB35" s="7">
        <f ca="1">[1]!b_calc_curve_chinabond("1082",AB$1,$B35)</f>
        <v>1.7183999999999999</v>
      </c>
      <c r="AC35" s="7">
        <f ca="1">[1]!b_calc_curve_chinabond("1082",AC$1,$B35)</f>
        <v>1.7222999999999999</v>
      </c>
      <c r="AD35" s="7">
        <f ca="1">[1]!b_calc_curve_chinabond("1082",AD$1,$B35)</f>
        <v>1.7070000000000001</v>
      </c>
      <c r="AE35" s="7">
        <f ca="1">[1]!b_calc_curve_chinabond("1082",AE$1,$B35)</f>
        <v>1.6956</v>
      </c>
      <c r="AF35" s="7">
        <f ca="1">[1]!b_calc_curve_chinabond("1082",AF$1,$B35)</f>
        <v>0</v>
      </c>
      <c r="AG35" s="7">
        <f ca="1">[1]!b_calc_curve_chinabond("1082",AG$1,$B35)</f>
        <v>0</v>
      </c>
      <c r="AH35" s="7">
        <f ca="1">[1]!b_calc_curve_chinabond("1082",AH$1,$B35)</f>
        <v>0</v>
      </c>
      <c r="AI35" s="7">
        <f ca="1">[1]!b_calc_curve_chinabond("1082",AI$1,$B35)</f>
        <v>0</v>
      </c>
    </row>
    <row r="36" spans="1:35" ht="19.5" customHeight="1">
      <c r="A36" s="1" t="s">
        <v>36</v>
      </c>
      <c r="B36" s="2">
        <v>2.8</v>
      </c>
      <c r="C36" s="7">
        <f ca="1">[1]!b_calc_curve_chinabond("1082",C$1,$B36)</f>
        <v>1.7164999999999999</v>
      </c>
      <c r="D36" s="7">
        <f ca="1">[1]!b_calc_curve_chinabond("1082",D$1,$B36)</f>
        <v>1.7114</v>
      </c>
      <c r="E36" s="7">
        <f ca="1">[1]!b_calc_curve_chinabond("1082",E$1,$B36)</f>
        <v>0</v>
      </c>
      <c r="F36" s="7">
        <f ca="1">[1]!b_calc_curve_chinabond("1082",F$1,$B36)</f>
        <v>0</v>
      </c>
      <c r="G36" s="7">
        <f ca="1">[1]!b_calc_curve_chinabond("1082",G$1,$B36)</f>
        <v>1.7044999999999999</v>
      </c>
      <c r="H36" s="7">
        <f ca="1">[1]!b_calc_curve_chinabond("1082",H$1,$B36)</f>
        <v>1.6981999999999999</v>
      </c>
      <c r="I36" s="7">
        <f ca="1">[1]!b_calc_curve_chinabond("1082",I$1,$B36)</f>
        <v>1.6904999999999999</v>
      </c>
      <c r="J36" s="7">
        <f ca="1">[1]!b_calc_curve_chinabond("1082",J$1,$B36)</f>
        <v>1.6783999999999999</v>
      </c>
      <c r="K36" s="7">
        <f ca="1">[1]!b_calc_curve_chinabond("1082",K$1,$B36)</f>
        <v>1.6745000000000001</v>
      </c>
      <c r="L36" s="7">
        <f ca="1">[1]!b_calc_curve_chinabond("1082",L$1,$B36)</f>
        <v>0</v>
      </c>
      <c r="M36" s="7">
        <f ca="1">[1]!b_calc_curve_chinabond("1082",M$1,$B36)</f>
        <v>0</v>
      </c>
      <c r="N36" s="7">
        <f ca="1">[1]!b_calc_curve_chinabond("1082",N$1,$B36)</f>
        <v>1.665</v>
      </c>
      <c r="O36" s="7">
        <f ca="1">[1]!b_calc_curve_chinabond("1082",O$1,$B36)</f>
        <v>1.6585000000000001</v>
      </c>
      <c r="P36" s="7">
        <f ca="1">[1]!b_calc_curve_chinabond("1082",P$1,$B36)</f>
        <v>1.6496999999999999</v>
      </c>
      <c r="Q36" s="7">
        <f ca="1">[1]!b_calc_curve_chinabond("1082",Q$1,$B36)</f>
        <v>1.649</v>
      </c>
      <c r="R36" s="7">
        <f ca="1">[1]!b_calc_curve_chinabond("1082",R$1,$B36)</f>
        <v>1.6488</v>
      </c>
      <c r="S36" s="7">
        <f ca="1">[1]!b_calc_curve_chinabond("1082",S$1,$B36)</f>
        <v>0</v>
      </c>
      <c r="T36" s="7">
        <f ca="1">[1]!b_calc_curve_chinabond("1082",T$1,$B36)</f>
        <v>0</v>
      </c>
      <c r="U36" s="7">
        <f ca="1">[1]!b_calc_curve_chinabond("1082",U$1,$B36)</f>
        <v>1.6611</v>
      </c>
      <c r="V36" s="7">
        <f ca="1">[1]!b_calc_curve_chinabond("1082",V$1,$B36)</f>
        <v>1.6776</v>
      </c>
      <c r="W36" s="7">
        <f ca="1">[1]!b_calc_curve_chinabond("1082",W$1,$B36)</f>
        <v>1.6903999999999999</v>
      </c>
      <c r="X36" s="7">
        <f ca="1">[1]!b_calc_curve_chinabond("1082",X$1,$B36)</f>
        <v>1.7152000000000001</v>
      </c>
      <c r="Y36" s="7">
        <f ca="1">[1]!b_calc_curve_chinabond("1082",Y$1,$B36)</f>
        <v>1.724</v>
      </c>
      <c r="Z36" s="7">
        <f ca="1">[1]!b_calc_curve_chinabond("1082",Z$1,$B36)</f>
        <v>0</v>
      </c>
      <c r="AA36" s="7">
        <f ca="1">[1]!b_calc_curve_chinabond("1082",AA$1,$B36)</f>
        <v>0</v>
      </c>
      <c r="AB36" s="7">
        <f ca="1">[1]!b_calc_curve_chinabond("1082",AB$1,$B36)</f>
        <v>1.7235</v>
      </c>
      <c r="AC36" s="7">
        <f ca="1">[1]!b_calc_curve_chinabond("1082",AC$1,$B36)</f>
        <v>1.7282</v>
      </c>
      <c r="AD36" s="7">
        <f ca="1">[1]!b_calc_curve_chinabond("1082",AD$1,$B36)</f>
        <v>1.7142999999999999</v>
      </c>
      <c r="AE36" s="7">
        <f ca="1">[1]!b_calc_curve_chinabond("1082",AE$1,$B36)</f>
        <v>1.7020999999999999</v>
      </c>
      <c r="AF36" s="7">
        <f ca="1">[1]!b_calc_curve_chinabond("1082",AF$1,$B36)</f>
        <v>0</v>
      </c>
      <c r="AG36" s="7">
        <f ca="1">[1]!b_calc_curve_chinabond("1082",AG$1,$B36)</f>
        <v>0</v>
      </c>
      <c r="AH36" s="7">
        <f ca="1">[1]!b_calc_curve_chinabond("1082",AH$1,$B36)</f>
        <v>0</v>
      </c>
      <c r="AI36" s="7">
        <f ca="1">[1]!b_calc_curve_chinabond("1082",AI$1,$B36)</f>
        <v>0</v>
      </c>
    </row>
    <row r="37" spans="1:35" ht="19.5" customHeight="1">
      <c r="A37" s="3" t="s">
        <v>37</v>
      </c>
      <c r="B37" s="4">
        <v>2.9</v>
      </c>
      <c r="C37" s="7">
        <f ca="1">[1]!b_calc_curve_chinabond("1082",C$1,$B37)</f>
        <v>1.7232000000000001</v>
      </c>
      <c r="D37" s="7">
        <f ca="1">[1]!b_calc_curve_chinabond("1082",D$1,$B37)</f>
        <v>1.7191000000000001</v>
      </c>
      <c r="E37" s="7">
        <f ca="1">[1]!b_calc_curve_chinabond("1082",E$1,$B37)</f>
        <v>0</v>
      </c>
      <c r="F37" s="7">
        <f ca="1">[1]!b_calc_curve_chinabond("1082",F$1,$B37)</f>
        <v>0</v>
      </c>
      <c r="G37" s="7">
        <f ca="1">[1]!b_calc_curve_chinabond("1082",G$1,$B37)</f>
        <v>1.7124999999999999</v>
      </c>
      <c r="H37" s="7">
        <f ca="1">[1]!b_calc_curve_chinabond("1082",H$1,$B37)</f>
        <v>1.7068000000000001</v>
      </c>
      <c r="I37" s="7">
        <f ca="1">[1]!b_calc_curve_chinabond("1082",I$1,$B37)</f>
        <v>1.6997</v>
      </c>
      <c r="J37" s="7">
        <f ca="1">[1]!b_calc_curve_chinabond("1082",J$1,$B37)</f>
        <v>1.6871</v>
      </c>
      <c r="K37" s="7">
        <f ca="1">[1]!b_calc_curve_chinabond("1082",K$1,$B37)</f>
        <v>1.6828000000000001</v>
      </c>
      <c r="L37" s="7">
        <f ca="1">[1]!b_calc_curve_chinabond("1082",L$1,$B37)</f>
        <v>0</v>
      </c>
      <c r="M37" s="7">
        <f ca="1">[1]!b_calc_curve_chinabond("1082",M$1,$B37)</f>
        <v>0</v>
      </c>
      <c r="N37" s="7">
        <f ca="1">[1]!b_calc_curve_chinabond("1082",N$1,$B37)</f>
        <v>1.6741999999999999</v>
      </c>
      <c r="O37" s="7">
        <f ca="1">[1]!b_calc_curve_chinabond("1082",O$1,$B37)</f>
        <v>1.6671</v>
      </c>
      <c r="P37" s="7">
        <f ca="1">[1]!b_calc_curve_chinabond("1082",P$1,$B37)</f>
        <v>1.6564000000000001</v>
      </c>
      <c r="Q37" s="7">
        <f ca="1">[1]!b_calc_curve_chinabond("1082",Q$1,$B37)</f>
        <v>1.6556</v>
      </c>
      <c r="R37" s="7">
        <f ca="1">[1]!b_calc_curve_chinabond("1082",R$1,$B37)</f>
        <v>1.6549</v>
      </c>
      <c r="S37" s="7">
        <f ca="1">[1]!b_calc_curve_chinabond("1082",S$1,$B37)</f>
        <v>0</v>
      </c>
      <c r="T37" s="7">
        <f ca="1">[1]!b_calc_curve_chinabond("1082",T$1,$B37)</f>
        <v>0</v>
      </c>
      <c r="U37" s="7">
        <f ca="1">[1]!b_calc_curve_chinabond("1082",U$1,$B37)</f>
        <v>1.667</v>
      </c>
      <c r="V37" s="7">
        <f ca="1">[1]!b_calc_curve_chinabond("1082",V$1,$B37)</f>
        <v>1.6815</v>
      </c>
      <c r="W37" s="7">
        <f ca="1">[1]!b_calc_curve_chinabond("1082",W$1,$B37)</f>
        <v>1.6935</v>
      </c>
      <c r="X37" s="7">
        <f ca="1">[1]!b_calc_curve_chinabond("1082",X$1,$B37)</f>
        <v>1.7179</v>
      </c>
      <c r="Y37" s="7">
        <f ca="1">[1]!b_calc_curve_chinabond("1082",Y$1,$B37)</f>
        <v>1.7295</v>
      </c>
      <c r="Z37" s="7">
        <f ca="1">[1]!b_calc_curve_chinabond("1082",Z$1,$B37)</f>
        <v>0</v>
      </c>
      <c r="AA37" s="7">
        <f ca="1">[1]!b_calc_curve_chinabond("1082",AA$1,$B37)</f>
        <v>0</v>
      </c>
      <c r="AB37" s="7">
        <f ca="1">[1]!b_calc_curve_chinabond("1082",AB$1,$B37)</f>
        <v>1.7289000000000001</v>
      </c>
      <c r="AC37" s="7">
        <f ca="1">[1]!b_calc_curve_chinabond("1082",AC$1,$B37)</f>
        <v>1.7343999999999999</v>
      </c>
      <c r="AD37" s="7">
        <f ca="1">[1]!b_calc_curve_chinabond("1082",AD$1,$B37)</f>
        <v>1.7217</v>
      </c>
      <c r="AE37" s="7">
        <f ca="1">[1]!b_calc_curve_chinabond("1082",AE$1,$B37)</f>
        <v>1.7087000000000001</v>
      </c>
      <c r="AF37" s="7">
        <f ca="1">[1]!b_calc_curve_chinabond("1082",AF$1,$B37)</f>
        <v>0</v>
      </c>
      <c r="AG37" s="7">
        <f ca="1">[1]!b_calc_curve_chinabond("1082",AG$1,$B37)</f>
        <v>0</v>
      </c>
      <c r="AH37" s="7">
        <f ca="1">[1]!b_calc_curve_chinabond("1082",AH$1,$B37)</f>
        <v>0</v>
      </c>
      <c r="AI37" s="7">
        <f ca="1">[1]!b_calc_curve_chinabond("1082",AI$1,$B37)</f>
        <v>0</v>
      </c>
    </row>
    <row r="38" spans="1:35" ht="19.5" customHeight="1">
      <c r="A38" s="1" t="s">
        <v>38</v>
      </c>
      <c r="B38" s="2">
        <v>3</v>
      </c>
      <c r="C38" s="7">
        <f ca="1">[1]!b_calc_curve_chinabond("1082",C$1,$B38)</f>
        <v>1.7306999999999999</v>
      </c>
      <c r="D38" s="7">
        <f ca="1">[1]!b_calc_curve_chinabond("1082",D$1,$B38)</f>
        <v>1.7274</v>
      </c>
      <c r="E38" s="7">
        <f ca="1">[1]!b_calc_curve_chinabond("1082",E$1,$B38)</f>
        <v>0</v>
      </c>
      <c r="F38" s="7">
        <f ca="1">[1]!b_calc_curve_chinabond("1082",F$1,$B38)</f>
        <v>0</v>
      </c>
      <c r="G38" s="7">
        <f ca="1">[1]!b_calc_curve_chinabond("1082",G$1,$B38)</f>
        <v>1.7210000000000001</v>
      </c>
      <c r="H38" s="7">
        <f ca="1">[1]!b_calc_curve_chinabond("1082",H$1,$B38)</f>
        <v>1.7157</v>
      </c>
      <c r="I38" s="7">
        <f ca="1">[1]!b_calc_curve_chinabond("1082",I$1,$B38)</f>
        <v>1.7091000000000001</v>
      </c>
      <c r="J38" s="7">
        <f ca="1">[1]!b_calc_curve_chinabond("1082",J$1,$B38)</f>
        <v>1.696</v>
      </c>
      <c r="K38" s="7">
        <f ca="1">[1]!b_calc_curve_chinabond("1082",K$1,$B38)</f>
        <v>1.6915</v>
      </c>
      <c r="L38" s="7">
        <f ca="1">[1]!b_calc_curve_chinabond("1082",L$1,$B38)</f>
        <v>0</v>
      </c>
      <c r="M38" s="7">
        <f ca="1">[1]!b_calc_curve_chinabond("1082",M$1,$B38)</f>
        <v>0</v>
      </c>
      <c r="N38" s="7">
        <f ca="1">[1]!b_calc_curve_chinabond("1082",N$1,$B38)</f>
        <v>1.6835</v>
      </c>
      <c r="O38" s="7">
        <f ca="1">[1]!b_calc_curve_chinabond("1082",O$1,$B38)</f>
        <v>1.6758</v>
      </c>
      <c r="P38" s="7">
        <f ca="1">[1]!b_calc_curve_chinabond("1082",P$1,$B38)</f>
        <v>1.6634</v>
      </c>
      <c r="Q38" s="7">
        <f ca="1">[1]!b_calc_curve_chinabond("1082",Q$1,$B38)</f>
        <v>1.6626000000000001</v>
      </c>
      <c r="R38" s="7">
        <f ca="1">[1]!b_calc_curve_chinabond("1082",R$1,$B38)</f>
        <v>1.6615</v>
      </c>
      <c r="S38" s="7">
        <f ca="1">[1]!b_calc_curve_chinabond("1082",S$1,$B38)</f>
        <v>0</v>
      </c>
      <c r="T38" s="7">
        <f ca="1">[1]!b_calc_curve_chinabond("1082",T$1,$B38)</f>
        <v>0</v>
      </c>
      <c r="U38" s="7">
        <f ca="1">[1]!b_calc_curve_chinabond("1082",U$1,$B38)</f>
        <v>1.6733</v>
      </c>
      <c r="V38" s="7">
        <f ca="1">[1]!b_calc_curve_chinabond("1082",V$1,$B38)</f>
        <v>1.6861999999999999</v>
      </c>
      <c r="W38" s="7">
        <f ca="1">[1]!b_calc_curve_chinabond("1082",W$1,$B38)</f>
        <v>1.6976</v>
      </c>
      <c r="X38" s="7">
        <f ca="1">[1]!b_calc_curve_chinabond("1082",X$1,$B38)</f>
        <v>1.7217</v>
      </c>
      <c r="Y38" s="7">
        <f ca="1">[1]!b_calc_curve_chinabond("1082",Y$1,$B38)</f>
        <v>1.7355</v>
      </c>
      <c r="Z38" s="7">
        <f ca="1">[1]!b_calc_curve_chinabond("1082",Z$1,$B38)</f>
        <v>0</v>
      </c>
      <c r="AA38" s="7">
        <f ca="1">[1]!b_calc_curve_chinabond("1082",AA$1,$B38)</f>
        <v>0</v>
      </c>
      <c r="AB38" s="7">
        <f ca="1">[1]!b_calc_curve_chinabond("1082",AB$1,$B38)</f>
        <v>1.7347999999999999</v>
      </c>
      <c r="AC38" s="7">
        <f ca="1">[1]!b_calc_curve_chinabond("1082",AC$1,$B38)</f>
        <v>1.7411000000000001</v>
      </c>
      <c r="AD38" s="7">
        <f ca="1">[1]!b_calc_curve_chinabond("1082",AD$1,$B38)</f>
        <v>1.7292000000000001</v>
      </c>
      <c r="AE38" s="7">
        <f ca="1">[1]!b_calc_curve_chinabond("1082",AE$1,$B38)</f>
        <v>1.7155</v>
      </c>
      <c r="AF38" s="7">
        <f ca="1">[1]!b_calc_curve_chinabond("1082",AF$1,$B38)</f>
        <v>0</v>
      </c>
      <c r="AG38" s="7">
        <f ca="1">[1]!b_calc_curve_chinabond("1082",AG$1,$B38)</f>
        <v>0</v>
      </c>
      <c r="AH38" s="7">
        <f ca="1">[1]!b_calc_curve_chinabond("1082",AH$1,$B38)</f>
        <v>0</v>
      </c>
      <c r="AI38" s="7">
        <f ca="1">[1]!b_calc_curve_chinabond("1082",AI$1,$B38)</f>
        <v>0</v>
      </c>
    </row>
    <row r="39" spans="1:35" ht="19.5" customHeight="1">
      <c r="A39" s="3" t="s">
        <v>39</v>
      </c>
      <c r="B39" s="4">
        <v>3.1</v>
      </c>
      <c r="C39" s="7">
        <f ca="1">[1]!b_calc_curve_chinabond("1082",C$1,$B39)</f>
        <v>1.7387999999999999</v>
      </c>
      <c r="D39" s="7">
        <f ca="1">[1]!b_calc_curve_chinabond("1082",D$1,$B39)</f>
        <v>1.7362</v>
      </c>
      <c r="E39" s="7">
        <f ca="1">[1]!b_calc_curve_chinabond("1082",E$1,$B39)</f>
        <v>0</v>
      </c>
      <c r="F39" s="7">
        <f ca="1">[1]!b_calc_curve_chinabond("1082",F$1,$B39)</f>
        <v>0</v>
      </c>
      <c r="G39" s="7">
        <f ca="1">[1]!b_calc_curve_chinabond("1082",G$1,$B39)</f>
        <v>1.7298</v>
      </c>
      <c r="H39" s="7">
        <f ca="1">[1]!b_calc_curve_chinabond("1082",H$1,$B39)</f>
        <v>1.7246999999999999</v>
      </c>
      <c r="I39" s="7">
        <f ca="1">[1]!b_calc_curve_chinabond("1082",I$1,$B39)</f>
        <v>1.7184999999999999</v>
      </c>
      <c r="J39" s="7">
        <f ca="1">[1]!b_calc_curve_chinabond("1082",J$1,$B39)</f>
        <v>1.7050000000000001</v>
      </c>
      <c r="K39" s="7">
        <f ca="1">[1]!b_calc_curve_chinabond("1082",K$1,$B39)</f>
        <v>1.7002999999999999</v>
      </c>
      <c r="L39" s="7">
        <f ca="1">[1]!b_calc_curve_chinabond("1082",L$1,$B39)</f>
        <v>0</v>
      </c>
      <c r="M39" s="7">
        <f ca="1">[1]!b_calc_curve_chinabond("1082",M$1,$B39)</f>
        <v>0</v>
      </c>
      <c r="N39" s="7">
        <f ca="1">[1]!b_calc_curve_chinabond("1082",N$1,$B39)</f>
        <v>1.6927000000000001</v>
      </c>
      <c r="O39" s="7">
        <f ca="1">[1]!b_calc_curve_chinabond("1082",O$1,$B39)</f>
        <v>1.6845000000000001</v>
      </c>
      <c r="P39" s="7">
        <f ca="1">[1]!b_calc_curve_chinabond("1082",P$1,$B39)</f>
        <v>1.6711</v>
      </c>
      <c r="Q39" s="7">
        <f ca="1">[1]!b_calc_curve_chinabond("1082",Q$1,$B39)</f>
        <v>1.67</v>
      </c>
      <c r="R39" s="7">
        <f ca="1">[1]!b_calc_curve_chinabond("1082",R$1,$B39)</f>
        <v>1.6686000000000001</v>
      </c>
      <c r="S39" s="7">
        <f ca="1">[1]!b_calc_curve_chinabond("1082",S$1,$B39)</f>
        <v>0</v>
      </c>
      <c r="T39" s="7">
        <f ca="1">[1]!b_calc_curve_chinabond("1082",T$1,$B39)</f>
        <v>0</v>
      </c>
      <c r="U39" s="7">
        <f ca="1">[1]!b_calc_curve_chinabond("1082",U$1,$B39)</f>
        <v>1.68</v>
      </c>
      <c r="V39" s="7">
        <f ca="1">[1]!b_calc_curve_chinabond("1082",V$1,$B39)</f>
        <v>1.6916</v>
      </c>
      <c r="W39" s="7">
        <f ca="1">[1]!b_calc_curve_chinabond("1082",W$1,$B39)</f>
        <v>1.7022999999999999</v>
      </c>
      <c r="X39" s="7">
        <f ca="1">[1]!b_calc_curve_chinabond("1082",X$1,$B39)</f>
        <v>1.7262999999999999</v>
      </c>
      <c r="Y39" s="7">
        <f ca="1">[1]!b_calc_curve_chinabond("1082",Y$1,$B39)</f>
        <v>1.7416</v>
      </c>
      <c r="Z39" s="7">
        <f ca="1">[1]!b_calc_curve_chinabond("1082",Z$1,$B39)</f>
        <v>0</v>
      </c>
      <c r="AA39" s="7">
        <f ca="1">[1]!b_calc_curve_chinabond("1082",AA$1,$B39)</f>
        <v>0</v>
      </c>
      <c r="AB39" s="7">
        <f ca="1">[1]!b_calc_curve_chinabond("1082",AB$1,$B39)</f>
        <v>1.7407999999999999</v>
      </c>
      <c r="AC39" s="7">
        <f ca="1">[1]!b_calc_curve_chinabond("1082",AC$1,$B39)</f>
        <v>1.7477</v>
      </c>
      <c r="AD39" s="7">
        <f ca="1">[1]!b_calc_curve_chinabond("1082",AD$1,$B39)</f>
        <v>1.7363999999999999</v>
      </c>
      <c r="AE39" s="7">
        <f ca="1">[1]!b_calc_curve_chinabond("1082",AE$1,$B39)</f>
        <v>1.7223999999999999</v>
      </c>
      <c r="AF39" s="7">
        <f ca="1">[1]!b_calc_curve_chinabond("1082",AF$1,$B39)</f>
        <v>0</v>
      </c>
      <c r="AG39" s="7">
        <f ca="1">[1]!b_calc_curve_chinabond("1082",AG$1,$B39)</f>
        <v>0</v>
      </c>
      <c r="AH39" s="7">
        <f ca="1">[1]!b_calc_curve_chinabond("1082",AH$1,$B39)</f>
        <v>0</v>
      </c>
      <c r="AI39" s="7">
        <f ca="1">[1]!b_calc_curve_chinabond("1082",AI$1,$B39)</f>
        <v>0</v>
      </c>
    </row>
    <row r="40" spans="1:35" ht="19.5" customHeight="1">
      <c r="A40" s="1" t="s">
        <v>40</v>
      </c>
      <c r="B40" s="2">
        <v>3.2</v>
      </c>
      <c r="C40" s="7">
        <f ca="1">[1]!b_calc_curve_chinabond("1082",C$1,$B40)</f>
        <v>1.7472000000000001</v>
      </c>
      <c r="D40" s="7">
        <f ca="1">[1]!b_calc_curve_chinabond("1082",D$1,$B40)</f>
        <v>1.7448999999999999</v>
      </c>
      <c r="E40" s="7">
        <f ca="1">[1]!b_calc_curve_chinabond("1082",E$1,$B40)</f>
        <v>0</v>
      </c>
      <c r="F40" s="7">
        <f ca="1">[1]!b_calc_curve_chinabond("1082",F$1,$B40)</f>
        <v>0</v>
      </c>
      <c r="G40" s="7">
        <f ca="1">[1]!b_calc_curve_chinabond("1082",G$1,$B40)</f>
        <v>1.7387999999999999</v>
      </c>
      <c r="H40" s="7">
        <f ca="1">[1]!b_calc_curve_chinabond("1082",H$1,$B40)</f>
        <v>1.7337</v>
      </c>
      <c r="I40" s="7">
        <f ca="1">[1]!b_calc_curve_chinabond("1082",I$1,$B40)</f>
        <v>1.7275</v>
      </c>
      <c r="J40" s="7">
        <f ca="1">[1]!b_calc_curve_chinabond("1082",J$1,$B40)</f>
        <v>1.7137</v>
      </c>
      <c r="K40" s="7">
        <f ca="1">[1]!b_calc_curve_chinabond("1082",K$1,$B40)</f>
        <v>1.7089000000000001</v>
      </c>
      <c r="L40" s="7">
        <f ca="1">[1]!b_calc_curve_chinabond("1082",L$1,$B40)</f>
        <v>0</v>
      </c>
      <c r="M40" s="7">
        <f ca="1">[1]!b_calc_curve_chinabond("1082",M$1,$B40)</f>
        <v>0</v>
      </c>
      <c r="N40" s="7">
        <f ca="1">[1]!b_calc_curve_chinabond("1082",N$1,$B40)</f>
        <v>1.7016</v>
      </c>
      <c r="O40" s="7">
        <f ca="1">[1]!b_calc_curve_chinabond("1082",O$1,$B40)</f>
        <v>1.6931</v>
      </c>
      <c r="P40" s="7">
        <f ca="1">[1]!b_calc_curve_chinabond("1082",P$1,$B40)</f>
        <v>1.6794</v>
      </c>
      <c r="Q40" s="7">
        <f ca="1">[1]!b_calc_curve_chinabond("1082",Q$1,$B40)</f>
        <v>1.6777</v>
      </c>
      <c r="R40" s="7">
        <f ca="1">[1]!b_calc_curve_chinabond("1082",R$1,$B40)</f>
        <v>1.6760999999999999</v>
      </c>
      <c r="S40" s="7">
        <f ca="1">[1]!b_calc_curve_chinabond("1082",S$1,$B40)</f>
        <v>0</v>
      </c>
      <c r="T40" s="7">
        <f ca="1">[1]!b_calc_curve_chinabond("1082",T$1,$B40)</f>
        <v>0</v>
      </c>
      <c r="U40" s="7">
        <f ca="1">[1]!b_calc_curve_chinabond("1082",U$1,$B40)</f>
        <v>1.6867000000000001</v>
      </c>
      <c r="V40" s="7">
        <f ca="1">[1]!b_calc_curve_chinabond("1082",V$1,$B40)</f>
        <v>1.6974</v>
      </c>
      <c r="W40" s="7">
        <f ca="1">[1]!b_calc_curve_chinabond("1082",W$1,$B40)</f>
        <v>1.7072000000000001</v>
      </c>
      <c r="X40" s="7">
        <f ca="1">[1]!b_calc_curve_chinabond("1082",X$1,$B40)</f>
        <v>1.7311000000000001</v>
      </c>
      <c r="Y40" s="7">
        <f ca="1">[1]!b_calc_curve_chinabond("1082",Y$1,$B40)</f>
        <v>1.7471000000000001</v>
      </c>
      <c r="Z40" s="7">
        <f ca="1">[1]!b_calc_curve_chinabond("1082",Z$1,$B40)</f>
        <v>0</v>
      </c>
      <c r="AA40" s="7">
        <f ca="1">[1]!b_calc_curve_chinabond("1082",AA$1,$B40)</f>
        <v>0</v>
      </c>
      <c r="AB40" s="7">
        <f ca="1">[1]!b_calc_curve_chinabond("1082",AB$1,$B40)</f>
        <v>1.7464999999999999</v>
      </c>
      <c r="AC40" s="7">
        <f ca="1">[1]!b_calc_curve_chinabond("1082",AC$1,$B40)</f>
        <v>1.7533000000000001</v>
      </c>
      <c r="AD40" s="7">
        <f ca="1">[1]!b_calc_curve_chinabond("1082",AD$1,$B40)</f>
        <v>1.7424999999999999</v>
      </c>
      <c r="AE40" s="7">
        <f ca="1">[1]!b_calc_curve_chinabond("1082",AE$1,$B40)</f>
        <v>1.7287999999999999</v>
      </c>
      <c r="AF40" s="7">
        <f ca="1">[1]!b_calc_curve_chinabond("1082",AF$1,$B40)</f>
        <v>0</v>
      </c>
      <c r="AG40" s="7">
        <f ca="1">[1]!b_calc_curve_chinabond("1082",AG$1,$B40)</f>
        <v>0</v>
      </c>
      <c r="AH40" s="7">
        <f ca="1">[1]!b_calc_curve_chinabond("1082",AH$1,$B40)</f>
        <v>0</v>
      </c>
      <c r="AI40" s="7">
        <f ca="1">[1]!b_calc_curve_chinabond("1082",AI$1,$B40)</f>
        <v>0</v>
      </c>
    </row>
    <row r="41" spans="1:35" ht="19.5" customHeight="1">
      <c r="A41" s="3" t="s">
        <v>41</v>
      </c>
      <c r="B41" s="4">
        <v>3.3</v>
      </c>
      <c r="C41" s="7">
        <f ca="1">[1]!b_calc_curve_chinabond("1082",C$1,$B41)</f>
        <v>1.7558</v>
      </c>
      <c r="D41" s="7">
        <f ca="1">[1]!b_calc_curve_chinabond("1082",D$1,$B41)</f>
        <v>1.7537</v>
      </c>
      <c r="E41" s="7">
        <f ca="1">[1]!b_calc_curve_chinabond("1082",E$1,$B41)</f>
        <v>0</v>
      </c>
      <c r="F41" s="7">
        <f ca="1">[1]!b_calc_curve_chinabond("1082",F$1,$B41)</f>
        <v>0</v>
      </c>
      <c r="G41" s="7">
        <f ca="1">[1]!b_calc_curve_chinabond("1082",G$1,$B41)</f>
        <v>1.7479</v>
      </c>
      <c r="H41" s="7">
        <f ca="1">[1]!b_calc_curve_chinabond("1082",H$1,$B41)</f>
        <v>1.7426999999999999</v>
      </c>
      <c r="I41" s="7">
        <f ca="1">[1]!b_calc_curve_chinabond("1082",I$1,$B41)</f>
        <v>1.7362</v>
      </c>
      <c r="J41" s="7">
        <f ca="1">[1]!b_calc_curve_chinabond("1082",J$1,$B41)</f>
        <v>1.7222</v>
      </c>
      <c r="K41" s="7">
        <f ca="1">[1]!b_calc_curve_chinabond("1082",K$1,$B41)</f>
        <v>1.7174</v>
      </c>
      <c r="L41" s="7">
        <f ca="1">[1]!b_calc_curve_chinabond("1082",L$1,$B41)</f>
        <v>0</v>
      </c>
      <c r="M41" s="7">
        <f ca="1">[1]!b_calc_curve_chinabond("1082",M$1,$B41)</f>
        <v>0</v>
      </c>
      <c r="N41" s="7">
        <f ca="1">[1]!b_calc_curve_chinabond("1082",N$1,$B41)</f>
        <v>1.7102999999999999</v>
      </c>
      <c r="O41" s="7">
        <f ca="1">[1]!b_calc_curve_chinabond("1082",O$1,$B41)</f>
        <v>1.7016</v>
      </c>
      <c r="P41" s="7">
        <f ca="1">[1]!b_calc_curve_chinabond("1082",P$1,$B41)</f>
        <v>1.6882999999999999</v>
      </c>
      <c r="Q41" s="7">
        <f ca="1">[1]!b_calc_curve_chinabond("1082",Q$1,$B41)</f>
        <v>1.6857</v>
      </c>
      <c r="R41" s="7">
        <f ca="1">[1]!b_calc_curve_chinabond("1082",R$1,$B41)</f>
        <v>1.6838</v>
      </c>
      <c r="S41" s="7">
        <f ca="1">[1]!b_calc_curve_chinabond("1082",S$1,$B41)</f>
        <v>0</v>
      </c>
      <c r="T41" s="7">
        <f ca="1">[1]!b_calc_curve_chinabond("1082",T$1,$B41)</f>
        <v>0</v>
      </c>
      <c r="U41" s="7">
        <f ca="1">[1]!b_calc_curve_chinabond("1082",U$1,$B41)</f>
        <v>1.6934</v>
      </c>
      <c r="V41" s="7">
        <f ca="1">[1]!b_calc_curve_chinabond("1082",V$1,$B41)</f>
        <v>1.7034</v>
      </c>
      <c r="W41" s="7">
        <f ca="1">[1]!b_calc_curve_chinabond("1082",W$1,$B41)</f>
        <v>1.7121</v>
      </c>
      <c r="X41" s="7">
        <f ca="1">[1]!b_calc_curve_chinabond("1082",X$1,$B41)</f>
        <v>1.7362</v>
      </c>
      <c r="Y41" s="7">
        <f ca="1">[1]!b_calc_curve_chinabond("1082",Y$1,$B41)</f>
        <v>1.7521</v>
      </c>
      <c r="Z41" s="7">
        <f ca="1">[1]!b_calc_curve_chinabond("1082",Z$1,$B41)</f>
        <v>0</v>
      </c>
      <c r="AA41" s="7">
        <f ca="1">[1]!b_calc_curve_chinabond("1082",AA$1,$B41)</f>
        <v>0</v>
      </c>
      <c r="AB41" s="7">
        <f ca="1">[1]!b_calc_curve_chinabond("1082",AB$1,$B41)</f>
        <v>1.7519</v>
      </c>
      <c r="AC41" s="7">
        <f ca="1">[1]!b_calc_curve_chinabond("1082",AC$1,$B41)</f>
        <v>1.7582</v>
      </c>
      <c r="AD41" s="7">
        <f ca="1">[1]!b_calc_curve_chinabond("1082",AD$1,$B41)</f>
        <v>1.7478</v>
      </c>
      <c r="AE41" s="7">
        <f ca="1">[1]!b_calc_curve_chinabond("1082",AE$1,$B41)</f>
        <v>1.7349000000000001</v>
      </c>
      <c r="AF41" s="7">
        <f ca="1">[1]!b_calc_curve_chinabond("1082",AF$1,$B41)</f>
        <v>0</v>
      </c>
      <c r="AG41" s="7">
        <f ca="1">[1]!b_calc_curve_chinabond("1082",AG$1,$B41)</f>
        <v>0</v>
      </c>
      <c r="AH41" s="7">
        <f ca="1">[1]!b_calc_curve_chinabond("1082",AH$1,$B41)</f>
        <v>0</v>
      </c>
      <c r="AI41" s="7">
        <f ca="1">[1]!b_calc_curve_chinabond("1082",AI$1,$B41)</f>
        <v>0</v>
      </c>
    </row>
    <row r="42" spans="1:35" ht="19.5" customHeight="1">
      <c r="A42" s="1" t="s">
        <v>42</v>
      </c>
      <c r="B42" s="2">
        <v>3.4</v>
      </c>
      <c r="C42" s="7">
        <f ca="1">[1]!b_calc_curve_chinabond("1082",C$1,$B42)</f>
        <v>1.7645999999999999</v>
      </c>
      <c r="D42" s="7">
        <f ca="1">[1]!b_calc_curve_chinabond("1082",D$1,$B42)</f>
        <v>1.7625999999999999</v>
      </c>
      <c r="E42" s="7">
        <f ca="1">[1]!b_calc_curve_chinabond("1082",E$1,$B42)</f>
        <v>0</v>
      </c>
      <c r="F42" s="7">
        <f ca="1">[1]!b_calc_curve_chinabond("1082",F$1,$B42)</f>
        <v>0</v>
      </c>
      <c r="G42" s="7">
        <f ca="1">[1]!b_calc_curve_chinabond("1082",G$1,$B42)</f>
        <v>1.7569999999999999</v>
      </c>
      <c r="H42" s="7">
        <f ca="1">[1]!b_calc_curve_chinabond("1082",H$1,$B42)</f>
        <v>1.7516</v>
      </c>
      <c r="I42" s="7">
        <f ca="1">[1]!b_calc_curve_chinabond("1082",I$1,$B42)</f>
        <v>1.7445999999999999</v>
      </c>
      <c r="J42" s="7">
        <f ca="1">[1]!b_calc_curve_chinabond("1082",J$1,$B42)</f>
        <v>1.7304999999999999</v>
      </c>
      <c r="K42" s="7">
        <f ca="1">[1]!b_calc_curve_chinabond("1082",K$1,$B42)</f>
        <v>1.7258</v>
      </c>
      <c r="L42" s="7">
        <f ca="1">[1]!b_calc_curve_chinabond("1082",L$1,$B42)</f>
        <v>0</v>
      </c>
      <c r="M42" s="7">
        <f ca="1">[1]!b_calc_curve_chinabond("1082",M$1,$B42)</f>
        <v>0</v>
      </c>
      <c r="N42" s="7">
        <f ca="1">[1]!b_calc_curve_chinabond("1082",N$1,$B42)</f>
        <v>1.7188000000000001</v>
      </c>
      <c r="O42" s="7">
        <f ca="1">[1]!b_calc_curve_chinabond("1082",O$1,$B42)</f>
        <v>1.7099</v>
      </c>
      <c r="P42" s="7">
        <f ca="1">[1]!b_calc_curve_chinabond("1082",P$1,$B42)</f>
        <v>1.6976</v>
      </c>
      <c r="Q42" s="7">
        <f ca="1">[1]!b_calc_curve_chinabond("1082",Q$1,$B42)</f>
        <v>1.6938</v>
      </c>
      <c r="R42" s="7">
        <f ca="1">[1]!b_calc_curve_chinabond("1082",R$1,$B42)</f>
        <v>1.6918</v>
      </c>
      <c r="S42" s="7">
        <f ca="1">[1]!b_calc_curve_chinabond("1082",S$1,$B42)</f>
        <v>0</v>
      </c>
      <c r="T42" s="7">
        <f ca="1">[1]!b_calc_curve_chinabond("1082",T$1,$B42)</f>
        <v>0</v>
      </c>
      <c r="U42" s="7">
        <f ca="1">[1]!b_calc_curve_chinabond("1082",U$1,$B42)</f>
        <v>1.7001999999999999</v>
      </c>
      <c r="V42" s="7">
        <f ca="1">[1]!b_calc_curve_chinabond("1082",V$1,$B42)</f>
        <v>1.7096</v>
      </c>
      <c r="W42" s="7">
        <f ca="1">[1]!b_calc_curve_chinabond("1082",W$1,$B42)</f>
        <v>1.7172000000000001</v>
      </c>
      <c r="X42" s="7">
        <f ca="1">[1]!b_calc_curve_chinabond("1082",X$1,$B42)</f>
        <v>1.7414000000000001</v>
      </c>
      <c r="Y42" s="7">
        <f ca="1">[1]!b_calc_curve_chinabond("1082",Y$1,$B42)</f>
        <v>1.7567999999999999</v>
      </c>
      <c r="Z42" s="7">
        <f ca="1">[1]!b_calc_curve_chinabond("1082",Z$1,$B42)</f>
        <v>0</v>
      </c>
      <c r="AA42" s="7">
        <f ca="1">[1]!b_calc_curve_chinabond("1082",AA$1,$B42)</f>
        <v>0</v>
      </c>
      <c r="AB42" s="7">
        <f ca="1">[1]!b_calc_curve_chinabond("1082",AB$1,$B42)</f>
        <v>1.7571000000000001</v>
      </c>
      <c r="AC42" s="7">
        <f ca="1">[1]!b_calc_curve_chinabond("1082",AC$1,$B42)</f>
        <v>1.7625</v>
      </c>
      <c r="AD42" s="7">
        <f ca="1">[1]!b_calc_curve_chinabond("1082",AD$1,$B42)</f>
        <v>1.7524</v>
      </c>
      <c r="AE42" s="7">
        <f ca="1">[1]!b_calc_curve_chinabond("1082",AE$1,$B42)</f>
        <v>1.7406999999999999</v>
      </c>
      <c r="AF42" s="7">
        <f ca="1">[1]!b_calc_curve_chinabond("1082",AF$1,$B42)</f>
        <v>0</v>
      </c>
      <c r="AG42" s="7">
        <f ca="1">[1]!b_calc_curve_chinabond("1082",AG$1,$B42)</f>
        <v>0</v>
      </c>
      <c r="AH42" s="7">
        <f ca="1">[1]!b_calc_curve_chinabond("1082",AH$1,$B42)</f>
        <v>0</v>
      </c>
      <c r="AI42" s="7">
        <f ca="1">[1]!b_calc_curve_chinabond("1082",AI$1,$B42)</f>
        <v>0</v>
      </c>
    </row>
    <row r="43" spans="1:35" ht="19.5" customHeight="1">
      <c r="A43" s="3" t="s">
        <v>43</v>
      </c>
      <c r="B43" s="4">
        <v>3.5</v>
      </c>
      <c r="C43" s="7">
        <f ca="1">[1]!b_calc_curve_chinabond("1082",C$1,$B43)</f>
        <v>1.7735000000000001</v>
      </c>
      <c r="D43" s="7">
        <f ca="1">[1]!b_calc_curve_chinabond("1082",D$1,$B43)</f>
        <v>1.7715000000000001</v>
      </c>
      <c r="E43" s="7">
        <f ca="1">[1]!b_calc_curve_chinabond("1082",E$1,$B43)</f>
        <v>0</v>
      </c>
      <c r="F43" s="7">
        <f ca="1">[1]!b_calc_curve_chinabond("1082",F$1,$B43)</f>
        <v>0</v>
      </c>
      <c r="G43" s="7">
        <f ca="1">[1]!b_calc_curve_chinabond("1082",G$1,$B43)</f>
        <v>1.7662</v>
      </c>
      <c r="H43" s="7">
        <f ca="1">[1]!b_calc_curve_chinabond("1082",H$1,$B43)</f>
        <v>1.7604</v>
      </c>
      <c r="I43" s="7">
        <f ca="1">[1]!b_calc_curve_chinabond("1082",I$1,$B43)</f>
        <v>1.7527999999999999</v>
      </c>
      <c r="J43" s="7">
        <f ca="1">[1]!b_calc_curve_chinabond("1082",J$1,$B43)</f>
        <v>1.7385999999999999</v>
      </c>
      <c r="K43" s="7">
        <f ca="1">[1]!b_calc_curve_chinabond("1082",K$1,$B43)</f>
        <v>1.734</v>
      </c>
      <c r="L43" s="7">
        <f ca="1">[1]!b_calc_curve_chinabond("1082",L$1,$B43)</f>
        <v>0</v>
      </c>
      <c r="M43" s="7">
        <f ca="1">[1]!b_calc_curve_chinabond("1082",M$1,$B43)</f>
        <v>0</v>
      </c>
      <c r="N43" s="7">
        <f ca="1">[1]!b_calc_curve_chinabond("1082",N$1,$B43)</f>
        <v>1.7273000000000001</v>
      </c>
      <c r="O43" s="7">
        <f ca="1">[1]!b_calc_curve_chinabond("1082",O$1,$B43)</f>
        <v>1.7181999999999999</v>
      </c>
      <c r="P43" s="7">
        <f ca="1">[1]!b_calc_curve_chinabond("1082",P$1,$B43)</f>
        <v>1.7072000000000001</v>
      </c>
      <c r="Q43" s="7">
        <f ca="1">[1]!b_calc_curve_chinabond("1082",Q$1,$B43)</f>
        <v>1.7020999999999999</v>
      </c>
      <c r="R43" s="7">
        <f ca="1">[1]!b_calc_curve_chinabond("1082",R$1,$B43)</f>
        <v>1.6999</v>
      </c>
      <c r="S43" s="7">
        <f ca="1">[1]!b_calc_curve_chinabond("1082",S$1,$B43)</f>
        <v>0</v>
      </c>
      <c r="T43" s="7">
        <f ca="1">[1]!b_calc_curve_chinabond("1082",T$1,$B43)</f>
        <v>0</v>
      </c>
      <c r="U43" s="7">
        <f ca="1">[1]!b_calc_curve_chinabond("1082",U$1,$B43)</f>
        <v>1.7070000000000001</v>
      </c>
      <c r="V43" s="7">
        <f ca="1">[1]!b_calc_curve_chinabond("1082",V$1,$B43)</f>
        <v>1.716</v>
      </c>
      <c r="W43" s="7">
        <f ca="1">[1]!b_calc_curve_chinabond("1082",W$1,$B43)</f>
        <v>1.7223999999999999</v>
      </c>
      <c r="X43" s="7">
        <f ca="1">[1]!b_calc_curve_chinabond("1082",X$1,$B43)</f>
        <v>1.7466999999999999</v>
      </c>
      <c r="Y43" s="7">
        <f ca="1">[1]!b_calc_curve_chinabond("1082",Y$1,$B43)</f>
        <v>1.7613000000000001</v>
      </c>
      <c r="Z43" s="7">
        <f ca="1">[1]!b_calc_curve_chinabond("1082",Z$1,$B43)</f>
        <v>0</v>
      </c>
      <c r="AA43" s="7">
        <f ca="1">[1]!b_calc_curve_chinabond("1082",AA$1,$B43)</f>
        <v>0</v>
      </c>
      <c r="AB43" s="7">
        <f ca="1">[1]!b_calc_curve_chinabond("1082",AB$1,$B43)</f>
        <v>1.7622</v>
      </c>
      <c r="AC43" s="7">
        <f ca="1">[1]!b_calc_curve_chinabond("1082",AC$1,$B43)</f>
        <v>1.7664</v>
      </c>
      <c r="AD43" s="7">
        <f ca="1">[1]!b_calc_curve_chinabond("1082",AD$1,$B43)</f>
        <v>1.7565</v>
      </c>
      <c r="AE43" s="7">
        <f ca="1">[1]!b_calc_curve_chinabond("1082",AE$1,$B43)</f>
        <v>1.7463</v>
      </c>
      <c r="AF43" s="7">
        <f ca="1">[1]!b_calc_curve_chinabond("1082",AF$1,$B43)</f>
        <v>0</v>
      </c>
      <c r="AG43" s="7">
        <f ca="1">[1]!b_calc_curve_chinabond("1082",AG$1,$B43)</f>
        <v>0</v>
      </c>
      <c r="AH43" s="7">
        <f ca="1">[1]!b_calc_curve_chinabond("1082",AH$1,$B43)</f>
        <v>0</v>
      </c>
      <c r="AI43" s="7">
        <f ca="1">[1]!b_calc_curve_chinabond("1082",AI$1,$B43)</f>
        <v>0</v>
      </c>
    </row>
    <row r="44" spans="1:35" ht="19.5" customHeight="1">
      <c r="A44" s="1" t="s">
        <v>44</v>
      </c>
      <c r="B44" s="2">
        <v>3.6</v>
      </c>
      <c r="C44" s="7">
        <f ca="1">[1]!b_calc_curve_chinabond("1082",C$1,$B44)</f>
        <v>1.7824</v>
      </c>
      <c r="D44" s="7">
        <f ca="1">[1]!b_calc_curve_chinabond("1082",D$1,$B44)</f>
        <v>1.7804</v>
      </c>
      <c r="E44" s="7">
        <f ca="1">[1]!b_calc_curve_chinabond("1082",E$1,$B44)</f>
        <v>0</v>
      </c>
      <c r="F44" s="7">
        <f ca="1">[1]!b_calc_curve_chinabond("1082",F$1,$B44)</f>
        <v>0</v>
      </c>
      <c r="G44" s="7">
        <f ca="1">[1]!b_calc_curve_chinabond("1082",G$1,$B44)</f>
        <v>1.7754000000000001</v>
      </c>
      <c r="H44" s="7">
        <f ca="1">[1]!b_calc_curve_chinabond("1082",H$1,$B44)</f>
        <v>1.7692000000000001</v>
      </c>
      <c r="I44" s="7">
        <f ca="1">[1]!b_calc_curve_chinabond("1082",I$1,$B44)</f>
        <v>1.7608999999999999</v>
      </c>
      <c r="J44" s="7">
        <f ca="1">[1]!b_calc_curve_chinabond("1082",J$1,$B44)</f>
        <v>1.7466999999999999</v>
      </c>
      <c r="K44" s="7">
        <f ca="1">[1]!b_calc_curve_chinabond("1082",K$1,$B44)</f>
        <v>1.7422</v>
      </c>
      <c r="L44" s="7">
        <f ca="1">[1]!b_calc_curve_chinabond("1082",L$1,$B44)</f>
        <v>0</v>
      </c>
      <c r="M44" s="7">
        <f ca="1">[1]!b_calc_curve_chinabond("1082",M$1,$B44)</f>
        <v>0</v>
      </c>
      <c r="N44" s="7">
        <f ca="1">[1]!b_calc_curve_chinabond("1082",N$1,$B44)</f>
        <v>1.7356</v>
      </c>
      <c r="O44" s="7">
        <f ca="1">[1]!b_calc_curve_chinabond("1082",O$1,$B44)</f>
        <v>1.7263999999999999</v>
      </c>
      <c r="P44" s="7">
        <f ca="1">[1]!b_calc_curve_chinabond("1082",P$1,$B44)</f>
        <v>1.7170000000000001</v>
      </c>
      <c r="Q44" s="7">
        <f ca="1">[1]!b_calc_curve_chinabond("1082",Q$1,$B44)</f>
        <v>1.7105999999999999</v>
      </c>
      <c r="R44" s="7">
        <f ca="1">[1]!b_calc_curve_chinabond("1082",R$1,$B44)</f>
        <v>1.7081</v>
      </c>
      <c r="S44" s="7">
        <f ca="1">[1]!b_calc_curve_chinabond("1082",S$1,$B44)</f>
        <v>0</v>
      </c>
      <c r="T44" s="7">
        <f ca="1">[1]!b_calc_curve_chinabond("1082",T$1,$B44)</f>
        <v>0</v>
      </c>
      <c r="U44" s="7">
        <f ca="1">[1]!b_calc_curve_chinabond("1082",U$1,$B44)</f>
        <v>1.7138</v>
      </c>
      <c r="V44" s="7">
        <f ca="1">[1]!b_calc_curve_chinabond("1082",V$1,$B44)</f>
        <v>1.7224999999999999</v>
      </c>
      <c r="W44" s="7">
        <f ca="1">[1]!b_calc_curve_chinabond("1082",W$1,$B44)</f>
        <v>1.7275</v>
      </c>
      <c r="X44" s="7">
        <f ca="1">[1]!b_calc_curve_chinabond("1082",X$1,$B44)</f>
        <v>1.7521</v>
      </c>
      <c r="Y44" s="7">
        <f ca="1">[1]!b_calc_curve_chinabond("1082",Y$1,$B44)</f>
        <v>1.7656000000000001</v>
      </c>
      <c r="Z44" s="7">
        <f ca="1">[1]!b_calc_curve_chinabond("1082",Z$1,$B44)</f>
        <v>0</v>
      </c>
      <c r="AA44" s="7">
        <f ca="1">[1]!b_calc_curve_chinabond("1082",AA$1,$B44)</f>
        <v>0</v>
      </c>
      <c r="AB44" s="7">
        <f ca="1">[1]!b_calc_curve_chinabond("1082",AB$1,$B44)</f>
        <v>1.7670999999999999</v>
      </c>
      <c r="AC44" s="7">
        <f ca="1">[1]!b_calc_curve_chinabond("1082",AC$1,$B44)</f>
        <v>1.77</v>
      </c>
      <c r="AD44" s="7">
        <f ca="1">[1]!b_calc_curve_chinabond("1082",AD$1,$B44)</f>
        <v>1.7603</v>
      </c>
      <c r="AE44" s="7">
        <f ca="1">[1]!b_calc_curve_chinabond("1082",AE$1,$B44)</f>
        <v>1.7519</v>
      </c>
      <c r="AF44" s="7">
        <f ca="1">[1]!b_calc_curve_chinabond("1082",AF$1,$B44)</f>
        <v>0</v>
      </c>
      <c r="AG44" s="7">
        <f ca="1">[1]!b_calc_curve_chinabond("1082",AG$1,$B44)</f>
        <v>0</v>
      </c>
      <c r="AH44" s="7">
        <f ca="1">[1]!b_calc_curve_chinabond("1082",AH$1,$B44)</f>
        <v>0</v>
      </c>
      <c r="AI44" s="7">
        <f ca="1">[1]!b_calc_curve_chinabond("1082",AI$1,$B44)</f>
        <v>0</v>
      </c>
    </row>
    <row r="45" spans="1:35" ht="19.5" customHeight="1">
      <c r="A45" s="3" t="s">
        <v>45</v>
      </c>
      <c r="B45" s="4">
        <v>3.7</v>
      </c>
      <c r="C45" s="7">
        <f ca="1">[1]!b_calc_curve_chinabond("1082",C$1,$B45)</f>
        <v>1.7914000000000001</v>
      </c>
      <c r="D45" s="7">
        <f ca="1">[1]!b_calc_curve_chinabond("1082",D$1,$B45)</f>
        <v>1.7892999999999999</v>
      </c>
      <c r="E45" s="7">
        <f ca="1">[1]!b_calc_curve_chinabond("1082",E$1,$B45)</f>
        <v>0</v>
      </c>
      <c r="F45" s="7">
        <f ca="1">[1]!b_calc_curve_chinabond("1082",F$1,$B45)</f>
        <v>0</v>
      </c>
      <c r="G45" s="7">
        <f ca="1">[1]!b_calc_curve_chinabond("1082",G$1,$B45)</f>
        <v>1.7846</v>
      </c>
      <c r="H45" s="7">
        <f ca="1">[1]!b_calc_curve_chinabond("1082",H$1,$B45)</f>
        <v>1.778</v>
      </c>
      <c r="I45" s="7">
        <f ca="1">[1]!b_calc_curve_chinabond("1082",I$1,$B45)</f>
        <v>1.7689999999999999</v>
      </c>
      <c r="J45" s="7">
        <f ca="1">[1]!b_calc_curve_chinabond("1082",J$1,$B45)</f>
        <v>1.7547999999999999</v>
      </c>
      <c r="K45" s="7">
        <f ca="1">[1]!b_calc_curve_chinabond("1082",K$1,$B45)</f>
        <v>1.7504</v>
      </c>
      <c r="L45" s="7">
        <f ca="1">[1]!b_calc_curve_chinabond("1082",L$1,$B45)</f>
        <v>0</v>
      </c>
      <c r="M45" s="7">
        <f ca="1">[1]!b_calc_curve_chinabond("1082",M$1,$B45)</f>
        <v>0</v>
      </c>
      <c r="N45" s="7">
        <f ca="1">[1]!b_calc_curve_chinabond("1082",N$1,$B45)</f>
        <v>1.7439</v>
      </c>
      <c r="O45" s="7">
        <f ca="1">[1]!b_calc_curve_chinabond("1082",O$1,$B45)</f>
        <v>1.7346999999999999</v>
      </c>
      <c r="P45" s="7">
        <f ca="1">[1]!b_calc_curve_chinabond("1082",P$1,$B45)</f>
        <v>1.7267999999999999</v>
      </c>
      <c r="Q45" s="7">
        <f ca="1">[1]!b_calc_curve_chinabond("1082",Q$1,$B45)</f>
        <v>1.7190000000000001</v>
      </c>
      <c r="R45" s="7">
        <f ca="1">[1]!b_calc_curve_chinabond("1082",R$1,$B45)</f>
        <v>1.7162999999999999</v>
      </c>
      <c r="S45" s="7">
        <f ca="1">[1]!b_calc_curve_chinabond("1082",S$1,$B45)</f>
        <v>0</v>
      </c>
      <c r="T45" s="7">
        <f ca="1">[1]!b_calc_curve_chinabond("1082",T$1,$B45)</f>
        <v>0</v>
      </c>
      <c r="U45" s="7">
        <f ca="1">[1]!b_calc_curve_chinabond("1082",U$1,$B45)</f>
        <v>1.7206999999999999</v>
      </c>
      <c r="V45" s="7">
        <f ca="1">[1]!b_calc_curve_chinabond("1082",V$1,$B45)</f>
        <v>1.7290000000000001</v>
      </c>
      <c r="W45" s="7">
        <f ca="1">[1]!b_calc_curve_chinabond("1082",W$1,$B45)</f>
        <v>1.7326999999999999</v>
      </c>
      <c r="X45" s="7">
        <f ca="1">[1]!b_calc_curve_chinabond("1082",X$1,$B45)</f>
        <v>1.7575000000000001</v>
      </c>
      <c r="Y45" s="7">
        <f ca="1">[1]!b_calc_curve_chinabond("1082",Y$1,$B45)</f>
        <v>1.7699</v>
      </c>
      <c r="Z45" s="7">
        <f ca="1">[1]!b_calc_curve_chinabond("1082",Z$1,$B45)</f>
        <v>0</v>
      </c>
      <c r="AA45" s="7">
        <f ca="1">[1]!b_calc_curve_chinabond("1082",AA$1,$B45)</f>
        <v>0</v>
      </c>
      <c r="AB45" s="7">
        <f ca="1">[1]!b_calc_curve_chinabond("1082",AB$1,$B45)</f>
        <v>1.772</v>
      </c>
      <c r="AC45" s="7">
        <f ca="1">[1]!b_calc_curve_chinabond("1082",AC$1,$B45)</f>
        <v>1.7735000000000001</v>
      </c>
      <c r="AD45" s="7">
        <f ca="1">[1]!b_calc_curve_chinabond("1082",AD$1,$B45)</f>
        <v>1.764</v>
      </c>
      <c r="AE45" s="7">
        <f ca="1">[1]!b_calc_curve_chinabond("1082",AE$1,$B45)</f>
        <v>1.7573000000000001</v>
      </c>
      <c r="AF45" s="7">
        <f ca="1">[1]!b_calc_curve_chinabond("1082",AF$1,$B45)</f>
        <v>0</v>
      </c>
      <c r="AG45" s="7">
        <f ca="1">[1]!b_calc_curve_chinabond("1082",AG$1,$B45)</f>
        <v>0</v>
      </c>
      <c r="AH45" s="7">
        <f ca="1">[1]!b_calc_curve_chinabond("1082",AH$1,$B45)</f>
        <v>0</v>
      </c>
      <c r="AI45" s="7">
        <f ca="1">[1]!b_calc_curve_chinabond("1082",AI$1,$B45)</f>
        <v>0</v>
      </c>
    </row>
    <row r="46" spans="1:35" ht="19.5" customHeight="1">
      <c r="A46" s="1" t="s">
        <v>46</v>
      </c>
      <c r="B46" s="2">
        <v>3.8</v>
      </c>
      <c r="C46" s="7">
        <f ca="1">[1]!b_calc_curve_chinabond("1082",C$1,$B46)</f>
        <v>1.8004</v>
      </c>
      <c r="D46" s="7">
        <f ca="1">[1]!b_calc_curve_chinabond("1082",D$1,$B46)</f>
        <v>1.7982</v>
      </c>
      <c r="E46" s="7">
        <f ca="1">[1]!b_calc_curve_chinabond("1082",E$1,$B46)</f>
        <v>0</v>
      </c>
      <c r="F46" s="7">
        <f ca="1">[1]!b_calc_curve_chinabond("1082",F$1,$B46)</f>
        <v>0</v>
      </c>
      <c r="G46" s="7">
        <f ca="1">[1]!b_calc_curve_chinabond("1082",G$1,$B46)</f>
        <v>1.7939000000000001</v>
      </c>
      <c r="H46" s="7">
        <f ca="1">[1]!b_calc_curve_chinabond("1082",H$1,$B46)</f>
        <v>1.7868999999999999</v>
      </c>
      <c r="I46" s="7">
        <f ca="1">[1]!b_calc_curve_chinabond("1082",I$1,$B46)</f>
        <v>1.7769999999999999</v>
      </c>
      <c r="J46" s="7">
        <f ca="1">[1]!b_calc_curve_chinabond("1082",J$1,$B46)</f>
        <v>1.7627999999999999</v>
      </c>
      <c r="K46" s="7">
        <f ca="1">[1]!b_calc_curve_chinabond("1082",K$1,$B46)</f>
        <v>1.7585999999999999</v>
      </c>
      <c r="L46" s="7">
        <f ca="1">[1]!b_calc_curve_chinabond("1082",L$1,$B46)</f>
        <v>0</v>
      </c>
      <c r="M46" s="7">
        <f ca="1">[1]!b_calc_curve_chinabond("1082",M$1,$B46)</f>
        <v>0</v>
      </c>
      <c r="N46" s="7">
        <f ca="1">[1]!b_calc_curve_chinabond("1082",N$1,$B46)</f>
        <v>1.7522</v>
      </c>
      <c r="O46" s="7">
        <f ca="1">[1]!b_calc_curve_chinabond("1082",O$1,$B46)</f>
        <v>1.7428999999999999</v>
      </c>
      <c r="P46" s="7">
        <f ca="1">[1]!b_calc_curve_chinabond("1082",P$1,$B46)</f>
        <v>1.7365999999999999</v>
      </c>
      <c r="Q46" s="7">
        <f ca="1">[1]!b_calc_curve_chinabond("1082",Q$1,$B46)</f>
        <v>1.7275</v>
      </c>
      <c r="R46" s="7">
        <f ca="1">[1]!b_calc_curve_chinabond("1082",R$1,$B46)</f>
        <v>1.7245999999999999</v>
      </c>
      <c r="S46" s="7">
        <f ca="1">[1]!b_calc_curve_chinabond("1082",S$1,$B46)</f>
        <v>0</v>
      </c>
      <c r="T46" s="7">
        <f ca="1">[1]!b_calc_curve_chinabond("1082",T$1,$B46)</f>
        <v>0</v>
      </c>
      <c r="U46" s="7">
        <f ca="1">[1]!b_calc_curve_chinabond("1082",U$1,$B46)</f>
        <v>1.7275</v>
      </c>
      <c r="V46" s="7">
        <f ca="1">[1]!b_calc_curve_chinabond("1082",V$1,$B46)</f>
        <v>1.7355</v>
      </c>
      <c r="W46" s="7">
        <f ca="1">[1]!b_calc_curve_chinabond("1082",W$1,$B46)</f>
        <v>1.7379</v>
      </c>
      <c r="X46" s="7">
        <f ca="1">[1]!b_calc_curve_chinabond("1082",X$1,$B46)</f>
        <v>1.7628999999999999</v>
      </c>
      <c r="Y46" s="7">
        <f ca="1">[1]!b_calc_curve_chinabond("1082",Y$1,$B46)</f>
        <v>1.7742</v>
      </c>
      <c r="Z46" s="7">
        <f ca="1">[1]!b_calc_curve_chinabond("1082",Z$1,$B46)</f>
        <v>0</v>
      </c>
      <c r="AA46" s="7">
        <f ca="1">[1]!b_calc_curve_chinabond("1082",AA$1,$B46)</f>
        <v>0</v>
      </c>
      <c r="AB46" s="7">
        <f ca="1">[1]!b_calc_curve_chinabond("1082",AB$1,$B46)</f>
        <v>1.7768999999999999</v>
      </c>
      <c r="AC46" s="7">
        <f ca="1">[1]!b_calc_curve_chinabond("1082",AC$1,$B46)</f>
        <v>1.7770999999999999</v>
      </c>
      <c r="AD46" s="7">
        <f ca="1">[1]!b_calc_curve_chinabond("1082",AD$1,$B46)</f>
        <v>1.7677</v>
      </c>
      <c r="AE46" s="7">
        <f ca="1">[1]!b_calc_curve_chinabond("1082",AE$1,$B46)</f>
        <v>1.7627999999999999</v>
      </c>
      <c r="AF46" s="7">
        <f ca="1">[1]!b_calc_curve_chinabond("1082",AF$1,$B46)</f>
        <v>0</v>
      </c>
      <c r="AG46" s="7">
        <f ca="1">[1]!b_calc_curve_chinabond("1082",AG$1,$B46)</f>
        <v>0</v>
      </c>
      <c r="AH46" s="7">
        <f ca="1">[1]!b_calc_curve_chinabond("1082",AH$1,$B46)</f>
        <v>0</v>
      </c>
      <c r="AI46" s="7">
        <f ca="1">[1]!b_calc_curve_chinabond("1082",AI$1,$B46)</f>
        <v>0</v>
      </c>
    </row>
    <row r="47" spans="1:35" ht="19.5" customHeight="1">
      <c r="A47" s="3" t="s">
        <v>47</v>
      </c>
      <c r="B47" s="4">
        <v>3.9</v>
      </c>
      <c r="C47" s="7">
        <f ca="1">[1]!b_calc_curve_chinabond("1082",C$1,$B47)</f>
        <v>1.8092999999999999</v>
      </c>
      <c r="D47" s="7">
        <f ca="1">[1]!b_calc_curve_chinabond("1082",D$1,$B47)</f>
        <v>1.8069999999999999</v>
      </c>
      <c r="E47" s="7">
        <f ca="1">[1]!b_calc_curve_chinabond("1082",E$1,$B47)</f>
        <v>0</v>
      </c>
      <c r="F47" s="7">
        <f ca="1">[1]!b_calc_curve_chinabond("1082",F$1,$B47)</f>
        <v>0</v>
      </c>
      <c r="G47" s="7">
        <f ca="1">[1]!b_calc_curve_chinabond("1082",G$1,$B47)</f>
        <v>1.8030999999999999</v>
      </c>
      <c r="H47" s="7">
        <f ca="1">[1]!b_calc_curve_chinabond("1082",H$1,$B47)</f>
        <v>1.7957000000000001</v>
      </c>
      <c r="I47" s="7">
        <f ca="1">[1]!b_calc_curve_chinabond("1082",I$1,$B47)</f>
        <v>1.7851999999999999</v>
      </c>
      <c r="J47" s="7">
        <f ca="1">[1]!b_calc_curve_chinabond("1082",J$1,$B47)</f>
        <v>1.7708999999999999</v>
      </c>
      <c r="K47" s="7">
        <f ca="1">[1]!b_calc_curve_chinabond("1082",K$1,$B47)</f>
        <v>1.7667999999999999</v>
      </c>
      <c r="L47" s="7">
        <f ca="1">[1]!b_calc_curve_chinabond("1082",L$1,$B47)</f>
        <v>0</v>
      </c>
      <c r="M47" s="7">
        <f ca="1">[1]!b_calc_curve_chinabond("1082",M$1,$B47)</f>
        <v>0</v>
      </c>
      <c r="N47" s="7">
        <f ca="1">[1]!b_calc_curve_chinabond("1082",N$1,$B47)</f>
        <v>1.7605999999999999</v>
      </c>
      <c r="O47" s="7">
        <f ca="1">[1]!b_calc_curve_chinabond("1082",O$1,$B47)</f>
        <v>1.7511000000000001</v>
      </c>
      <c r="P47" s="7">
        <f ca="1">[1]!b_calc_curve_chinabond("1082",P$1,$B47)</f>
        <v>1.7463</v>
      </c>
      <c r="Q47" s="7">
        <f ca="1">[1]!b_calc_curve_chinabond("1082",Q$1,$B47)</f>
        <v>1.7358</v>
      </c>
      <c r="R47" s="7">
        <f ca="1">[1]!b_calc_curve_chinabond("1082",R$1,$B47)</f>
        <v>1.7326999999999999</v>
      </c>
      <c r="S47" s="7">
        <f ca="1">[1]!b_calc_curve_chinabond("1082",S$1,$B47)</f>
        <v>0</v>
      </c>
      <c r="T47" s="7">
        <f ca="1">[1]!b_calc_curve_chinabond("1082",T$1,$B47)</f>
        <v>0</v>
      </c>
      <c r="U47" s="7">
        <f ca="1">[1]!b_calc_curve_chinabond("1082",U$1,$B47)</f>
        <v>1.7343</v>
      </c>
      <c r="V47" s="7">
        <f ca="1">[1]!b_calc_curve_chinabond("1082",V$1,$B47)</f>
        <v>1.7419</v>
      </c>
      <c r="W47" s="7">
        <f ca="1">[1]!b_calc_curve_chinabond("1082",W$1,$B47)</f>
        <v>1.7431000000000001</v>
      </c>
      <c r="X47" s="7">
        <f ca="1">[1]!b_calc_curve_chinabond("1082",X$1,$B47)</f>
        <v>1.7682</v>
      </c>
      <c r="Y47" s="7">
        <f ca="1">[1]!b_calc_curve_chinabond("1082",Y$1,$B47)</f>
        <v>1.7786</v>
      </c>
      <c r="Z47" s="7">
        <f ca="1">[1]!b_calc_curve_chinabond("1082",Z$1,$B47)</f>
        <v>0</v>
      </c>
      <c r="AA47" s="7">
        <f ca="1">[1]!b_calc_curve_chinabond("1082",AA$1,$B47)</f>
        <v>0</v>
      </c>
      <c r="AB47" s="7">
        <f ca="1">[1]!b_calc_curve_chinabond("1082",AB$1,$B47)</f>
        <v>1.7818000000000001</v>
      </c>
      <c r="AC47" s="7">
        <f ca="1">[1]!b_calc_curve_chinabond("1082",AC$1,$B47)</f>
        <v>1.7808999999999999</v>
      </c>
      <c r="AD47" s="7">
        <f ca="1">[1]!b_calc_curve_chinabond("1082",AD$1,$B47)</f>
        <v>1.7717000000000001</v>
      </c>
      <c r="AE47" s="7">
        <f ca="1">[1]!b_calc_curve_chinabond("1082",AE$1,$B47)</f>
        <v>1.7684</v>
      </c>
      <c r="AF47" s="7">
        <f ca="1">[1]!b_calc_curve_chinabond("1082",AF$1,$B47)</f>
        <v>0</v>
      </c>
      <c r="AG47" s="7">
        <f ca="1">[1]!b_calc_curve_chinabond("1082",AG$1,$B47)</f>
        <v>0</v>
      </c>
      <c r="AH47" s="7">
        <f ca="1">[1]!b_calc_curve_chinabond("1082",AH$1,$B47)</f>
        <v>0</v>
      </c>
      <c r="AI47" s="7">
        <f ca="1">[1]!b_calc_curve_chinabond("1082",AI$1,$B47)</f>
        <v>0</v>
      </c>
    </row>
    <row r="48" spans="1:35" ht="19.5" customHeight="1">
      <c r="A48" s="1" t="s">
        <v>48</v>
      </c>
      <c r="B48" s="2">
        <v>4</v>
      </c>
      <c r="C48" s="7">
        <f ca="1">[1]!b_calc_curve_chinabond("1082",C$1,$B48)</f>
        <v>1.8181</v>
      </c>
      <c r="D48" s="7">
        <f ca="1">[1]!b_calc_curve_chinabond("1082",D$1,$B48)</f>
        <v>1.8159000000000001</v>
      </c>
      <c r="E48" s="7">
        <f ca="1">[1]!b_calc_curve_chinabond("1082",E$1,$B48)</f>
        <v>0</v>
      </c>
      <c r="F48" s="7">
        <f ca="1">[1]!b_calc_curve_chinabond("1082",F$1,$B48)</f>
        <v>0</v>
      </c>
      <c r="G48" s="7">
        <f ca="1">[1]!b_calc_curve_chinabond("1082",G$1,$B48)</f>
        <v>1.8122</v>
      </c>
      <c r="H48" s="7">
        <f ca="1">[1]!b_calc_curve_chinabond("1082",H$1,$B48)</f>
        <v>1.8046</v>
      </c>
      <c r="I48" s="7">
        <f ca="1">[1]!b_calc_curve_chinabond("1082",I$1,$B48)</f>
        <v>1.7936000000000001</v>
      </c>
      <c r="J48" s="7">
        <f ca="1">[1]!b_calc_curve_chinabond("1082",J$1,$B48)</f>
        <v>1.7791999999999999</v>
      </c>
      <c r="K48" s="7">
        <f ca="1">[1]!b_calc_curve_chinabond("1082",K$1,$B48)</f>
        <v>1.7750999999999999</v>
      </c>
      <c r="L48" s="7">
        <f ca="1">[1]!b_calc_curve_chinabond("1082",L$1,$B48)</f>
        <v>0</v>
      </c>
      <c r="M48" s="7">
        <f ca="1">[1]!b_calc_curve_chinabond("1082",M$1,$B48)</f>
        <v>0</v>
      </c>
      <c r="N48" s="7">
        <f ca="1">[1]!b_calc_curve_chinabond("1082",N$1,$B48)</f>
        <v>1.7690999999999999</v>
      </c>
      <c r="O48" s="7">
        <f ca="1">[1]!b_calc_curve_chinabond("1082",O$1,$B48)</f>
        <v>1.7595000000000001</v>
      </c>
      <c r="P48" s="7">
        <f ca="1">[1]!b_calc_curve_chinabond("1082",P$1,$B48)</f>
        <v>1.7557</v>
      </c>
      <c r="Q48" s="7">
        <f ca="1">[1]!b_calc_curve_chinabond("1082",Q$1,$B48)</f>
        <v>1.744</v>
      </c>
      <c r="R48" s="7">
        <f ca="1">[1]!b_calc_curve_chinabond("1082",R$1,$B48)</f>
        <v>1.7406999999999999</v>
      </c>
      <c r="S48" s="7">
        <f ca="1">[1]!b_calc_curve_chinabond("1082",S$1,$B48)</f>
        <v>0</v>
      </c>
      <c r="T48" s="7">
        <f ca="1">[1]!b_calc_curve_chinabond("1082",T$1,$B48)</f>
        <v>0</v>
      </c>
      <c r="U48" s="7">
        <f ca="1">[1]!b_calc_curve_chinabond("1082",U$1,$B48)</f>
        <v>1.7411000000000001</v>
      </c>
      <c r="V48" s="7">
        <f ca="1">[1]!b_calc_curve_chinabond("1082",V$1,$B48)</f>
        <v>1.7482</v>
      </c>
      <c r="W48" s="7">
        <f ca="1">[1]!b_calc_curve_chinabond("1082",W$1,$B48)</f>
        <v>1.7482</v>
      </c>
      <c r="X48" s="7">
        <f ca="1">[1]!b_calc_curve_chinabond("1082",X$1,$B48)</f>
        <v>1.7735000000000001</v>
      </c>
      <c r="Y48" s="7">
        <f ca="1">[1]!b_calc_curve_chinabond("1082",Y$1,$B48)</f>
        <v>1.7831999999999999</v>
      </c>
      <c r="Z48" s="7">
        <f ca="1">[1]!b_calc_curve_chinabond("1082",Z$1,$B48)</f>
        <v>0</v>
      </c>
      <c r="AA48" s="7">
        <f ca="1">[1]!b_calc_curve_chinabond("1082",AA$1,$B48)</f>
        <v>0</v>
      </c>
      <c r="AB48" s="7">
        <f ca="1">[1]!b_calc_curve_chinabond("1082",AB$1,$B48)</f>
        <v>1.7869999999999999</v>
      </c>
      <c r="AC48" s="7">
        <f ca="1">[1]!b_calc_curve_chinabond("1082",AC$1,$B48)</f>
        <v>1.7850999999999999</v>
      </c>
      <c r="AD48" s="7">
        <f ca="1">[1]!b_calc_curve_chinabond("1082",AD$1,$B48)</f>
        <v>1.7761</v>
      </c>
      <c r="AE48" s="7">
        <f ca="1">[1]!b_calc_curve_chinabond("1082",AE$1,$B48)</f>
        <v>1.7742</v>
      </c>
      <c r="AF48" s="7">
        <f ca="1">[1]!b_calc_curve_chinabond("1082",AF$1,$B48)</f>
        <v>0</v>
      </c>
      <c r="AG48" s="7">
        <f ca="1">[1]!b_calc_curve_chinabond("1082",AG$1,$B48)</f>
        <v>0</v>
      </c>
      <c r="AH48" s="7">
        <f ca="1">[1]!b_calc_curve_chinabond("1082",AH$1,$B48)</f>
        <v>0</v>
      </c>
      <c r="AI48" s="7">
        <f ca="1">[1]!b_calc_curve_chinabond("1082",AI$1,$B48)</f>
        <v>0</v>
      </c>
    </row>
    <row r="49" spans="1:35" ht="19.5" customHeight="1">
      <c r="A49" s="3" t="s">
        <v>49</v>
      </c>
      <c r="B49" s="4">
        <v>4.0999999999999996</v>
      </c>
      <c r="C49" s="7">
        <f ca="1">[1]!b_calc_curve_chinabond("1082",C$1,$B49)</f>
        <v>1.8266</v>
      </c>
      <c r="D49" s="7">
        <f ca="1">[1]!b_calc_curve_chinabond("1082",D$1,$B49)</f>
        <v>1.8245</v>
      </c>
      <c r="E49" s="7">
        <f ca="1">[1]!b_calc_curve_chinabond("1082",E$1,$B49)</f>
        <v>0</v>
      </c>
      <c r="F49" s="7">
        <f ca="1">[1]!b_calc_curve_chinabond("1082",F$1,$B49)</f>
        <v>0</v>
      </c>
      <c r="G49" s="7">
        <f ca="1">[1]!b_calc_curve_chinabond("1082",G$1,$B49)</f>
        <v>1.8210999999999999</v>
      </c>
      <c r="H49" s="7">
        <f ca="1">[1]!b_calc_curve_chinabond("1082",H$1,$B49)</f>
        <v>1.8130999999999999</v>
      </c>
      <c r="I49" s="7">
        <f ca="1">[1]!b_calc_curve_chinabond("1082",I$1,$B49)</f>
        <v>1.8018000000000001</v>
      </c>
      <c r="J49" s="7">
        <f ca="1">[1]!b_calc_curve_chinabond("1082",J$1,$B49)</f>
        <v>1.7874000000000001</v>
      </c>
      <c r="K49" s="7">
        <f ca="1">[1]!b_calc_curve_chinabond("1082",K$1,$B49)</f>
        <v>1.7831999999999999</v>
      </c>
      <c r="L49" s="7">
        <f ca="1">[1]!b_calc_curve_chinabond("1082",L$1,$B49)</f>
        <v>0</v>
      </c>
      <c r="M49" s="7">
        <f ca="1">[1]!b_calc_curve_chinabond("1082",M$1,$B49)</f>
        <v>0</v>
      </c>
      <c r="N49" s="7">
        <f ca="1">[1]!b_calc_curve_chinabond("1082",N$1,$B49)</f>
        <v>1.7775000000000001</v>
      </c>
      <c r="O49" s="7">
        <f ca="1">[1]!b_calc_curve_chinabond("1082",O$1,$B49)</f>
        <v>1.7676000000000001</v>
      </c>
      <c r="P49" s="7">
        <f ca="1">[1]!b_calc_curve_chinabond("1082",P$1,$B49)</f>
        <v>1.7644</v>
      </c>
      <c r="Q49" s="7">
        <f ca="1">[1]!b_calc_curve_chinabond("1082",Q$1,$B49)</f>
        <v>1.752</v>
      </c>
      <c r="R49" s="7">
        <f ca="1">[1]!b_calc_curve_chinabond("1082",R$1,$B49)</f>
        <v>1.7483</v>
      </c>
      <c r="S49" s="7">
        <f ca="1">[1]!b_calc_curve_chinabond("1082",S$1,$B49)</f>
        <v>0</v>
      </c>
      <c r="T49" s="7">
        <f ca="1">[1]!b_calc_curve_chinabond("1082",T$1,$B49)</f>
        <v>0</v>
      </c>
      <c r="U49" s="7">
        <f ca="1">[1]!b_calc_curve_chinabond("1082",U$1,$B49)</f>
        <v>1.7481</v>
      </c>
      <c r="V49" s="7">
        <f ca="1">[1]!b_calc_curve_chinabond("1082",V$1,$B49)</f>
        <v>1.7549999999999999</v>
      </c>
      <c r="W49" s="7">
        <f ca="1">[1]!b_calc_curve_chinabond("1082",W$1,$B49)</f>
        <v>1.7544999999999999</v>
      </c>
      <c r="X49" s="7">
        <f ca="1">[1]!b_calc_curve_chinabond("1082",X$1,$B49)</f>
        <v>1.7798</v>
      </c>
      <c r="Y49" s="7">
        <f ca="1">[1]!b_calc_curve_chinabond("1082",Y$1,$B49)</f>
        <v>1.7891999999999999</v>
      </c>
      <c r="Z49" s="7">
        <f ca="1">[1]!b_calc_curve_chinabond("1082",Z$1,$B49)</f>
        <v>0</v>
      </c>
      <c r="AA49" s="7">
        <f ca="1">[1]!b_calc_curve_chinabond("1082",AA$1,$B49)</f>
        <v>0</v>
      </c>
      <c r="AB49" s="7">
        <f ca="1">[1]!b_calc_curve_chinabond("1082",AB$1,$B49)</f>
        <v>1.7932999999999999</v>
      </c>
      <c r="AC49" s="7">
        <f ca="1">[1]!b_calc_curve_chinabond("1082",AC$1,$B49)</f>
        <v>1.7907</v>
      </c>
      <c r="AD49" s="7">
        <f ca="1">[1]!b_calc_curve_chinabond("1082",AD$1,$B49)</f>
        <v>1.7821</v>
      </c>
      <c r="AE49" s="7">
        <f ca="1">[1]!b_calc_curve_chinabond("1082",AE$1,$B49)</f>
        <v>1.7809999999999999</v>
      </c>
      <c r="AF49" s="7">
        <f ca="1">[1]!b_calc_curve_chinabond("1082",AF$1,$B49)</f>
        <v>0</v>
      </c>
      <c r="AG49" s="7">
        <f ca="1">[1]!b_calc_curve_chinabond("1082",AG$1,$B49)</f>
        <v>0</v>
      </c>
      <c r="AH49" s="7">
        <f ca="1">[1]!b_calc_curve_chinabond("1082",AH$1,$B49)</f>
        <v>0</v>
      </c>
      <c r="AI49" s="7">
        <f ca="1">[1]!b_calc_curve_chinabond("1082",AI$1,$B49)</f>
        <v>0</v>
      </c>
    </row>
    <row r="50" spans="1:35" ht="19.5" customHeight="1">
      <c r="A50" s="1" t="s">
        <v>50</v>
      </c>
      <c r="B50" s="2">
        <v>4.2</v>
      </c>
      <c r="C50" s="7">
        <f ca="1">[1]!b_calc_curve_chinabond("1082",C$1,$B50)</f>
        <v>1.8348</v>
      </c>
      <c r="D50" s="7">
        <f ca="1">[1]!b_calc_curve_chinabond("1082",D$1,$B50)</f>
        <v>1.8327</v>
      </c>
      <c r="E50" s="7">
        <f ca="1">[1]!b_calc_curve_chinabond("1082",E$1,$B50)</f>
        <v>0</v>
      </c>
      <c r="F50" s="7">
        <f ca="1">[1]!b_calc_curve_chinabond("1082",F$1,$B50)</f>
        <v>0</v>
      </c>
      <c r="G50" s="7">
        <f ca="1">[1]!b_calc_curve_chinabond("1082",G$1,$B50)</f>
        <v>1.8293999999999999</v>
      </c>
      <c r="H50" s="7">
        <f ca="1">[1]!b_calc_curve_chinabond("1082",H$1,$B50)</f>
        <v>1.8209</v>
      </c>
      <c r="I50" s="7">
        <f ca="1">[1]!b_calc_curve_chinabond("1082",I$1,$B50)</f>
        <v>1.8098000000000001</v>
      </c>
      <c r="J50" s="7">
        <f ca="1">[1]!b_calc_curve_chinabond("1082",J$1,$B50)</f>
        <v>1.7956000000000001</v>
      </c>
      <c r="K50" s="7">
        <f ca="1">[1]!b_calc_curve_chinabond("1082",K$1,$B50)</f>
        <v>1.7909999999999999</v>
      </c>
      <c r="L50" s="7">
        <f ca="1">[1]!b_calc_curve_chinabond("1082",L$1,$B50)</f>
        <v>0</v>
      </c>
      <c r="M50" s="7">
        <f ca="1">[1]!b_calc_curve_chinabond("1082",M$1,$B50)</f>
        <v>0</v>
      </c>
      <c r="N50" s="7">
        <f ca="1">[1]!b_calc_curve_chinabond("1082",N$1,$B50)</f>
        <v>1.7856000000000001</v>
      </c>
      <c r="O50" s="7">
        <f ca="1">[1]!b_calc_curve_chinabond("1082",O$1,$B50)</f>
        <v>1.7753000000000001</v>
      </c>
      <c r="P50" s="7">
        <f ca="1">[1]!b_calc_curve_chinabond("1082",P$1,$B50)</f>
        <v>1.7724</v>
      </c>
      <c r="Q50" s="7">
        <f ca="1">[1]!b_calc_curve_chinabond("1082",Q$1,$B50)</f>
        <v>1.7595000000000001</v>
      </c>
      <c r="R50" s="7">
        <f ca="1">[1]!b_calc_curve_chinabond("1082",R$1,$B50)</f>
        <v>1.7554000000000001</v>
      </c>
      <c r="S50" s="7">
        <f ca="1">[1]!b_calc_curve_chinabond("1082",S$1,$B50)</f>
        <v>0</v>
      </c>
      <c r="T50" s="7">
        <f ca="1">[1]!b_calc_curve_chinabond("1082",T$1,$B50)</f>
        <v>0</v>
      </c>
      <c r="U50" s="7">
        <f ca="1">[1]!b_calc_curve_chinabond("1082",U$1,$B50)</f>
        <v>1.7555000000000001</v>
      </c>
      <c r="V50" s="7">
        <f ca="1">[1]!b_calc_curve_chinabond("1082",V$1,$B50)</f>
        <v>1.7627999999999999</v>
      </c>
      <c r="W50" s="7">
        <f ca="1">[1]!b_calc_curve_chinabond("1082",W$1,$B50)</f>
        <v>1.7629999999999999</v>
      </c>
      <c r="X50" s="7">
        <f ca="1">[1]!b_calc_curve_chinabond("1082",X$1,$B50)</f>
        <v>1.7883</v>
      </c>
      <c r="Y50" s="7">
        <f ca="1">[1]!b_calc_curve_chinabond("1082",Y$1,$B50)</f>
        <v>1.7976000000000001</v>
      </c>
      <c r="Z50" s="7">
        <f ca="1">[1]!b_calc_curve_chinabond("1082",Z$1,$B50)</f>
        <v>0</v>
      </c>
      <c r="AA50" s="7">
        <f ca="1">[1]!b_calc_curve_chinabond("1082",AA$1,$B50)</f>
        <v>0</v>
      </c>
      <c r="AB50" s="7">
        <f ca="1">[1]!b_calc_curve_chinabond("1082",AB$1,$B50)</f>
        <v>1.8016000000000001</v>
      </c>
      <c r="AC50" s="7">
        <f ca="1">[1]!b_calc_curve_chinabond("1082",AC$1,$B50)</f>
        <v>1.7986</v>
      </c>
      <c r="AD50" s="7">
        <f ca="1">[1]!b_calc_curve_chinabond("1082",AD$1,$B50)</f>
        <v>1.7903</v>
      </c>
      <c r="AE50" s="7">
        <f ca="1">[1]!b_calc_curve_chinabond("1082",AE$1,$B50)</f>
        <v>1.7896000000000001</v>
      </c>
      <c r="AF50" s="7">
        <f ca="1">[1]!b_calc_curve_chinabond("1082",AF$1,$B50)</f>
        <v>0</v>
      </c>
      <c r="AG50" s="7">
        <f ca="1">[1]!b_calc_curve_chinabond("1082",AG$1,$B50)</f>
        <v>0</v>
      </c>
      <c r="AH50" s="7">
        <f ca="1">[1]!b_calc_curve_chinabond("1082",AH$1,$B50)</f>
        <v>0</v>
      </c>
      <c r="AI50" s="7">
        <f ca="1">[1]!b_calc_curve_chinabond("1082",AI$1,$B50)</f>
        <v>0</v>
      </c>
    </row>
    <row r="51" spans="1:35" ht="19.5" customHeight="1">
      <c r="A51" s="3" t="s">
        <v>51</v>
      </c>
      <c r="B51" s="4">
        <v>4.3</v>
      </c>
      <c r="C51" s="7">
        <f ca="1">[1]!b_calc_curve_chinabond("1082",C$1,$B51)</f>
        <v>1.8426</v>
      </c>
      <c r="D51" s="7">
        <f ca="1">[1]!b_calc_curve_chinabond("1082",D$1,$B51)</f>
        <v>1.8405</v>
      </c>
      <c r="E51" s="7">
        <f ca="1">[1]!b_calc_curve_chinabond("1082",E$1,$B51)</f>
        <v>0</v>
      </c>
      <c r="F51" s="7">
        <f ca="1">[1]!b_calc_curve_chinabond("1082",F$1,$B51)</f>
        <v>0</v>
      </c>
      <c r="G51" s="7">
        <f ca="1">[1]!b_calc_curve_chinabond("1082",G$1,$B51)</f>
        <v>1.8372999999999999</v>
      </c>
      <c r="H51" s="7">
        <f ca="1">[1]!b_calc_curve_chinabond("1082",H$1,$B51)</f>
        <v>1.8283</v>
      </c>
      <c r="I51" s="7">
        <f ca="1">[1]!b_calc_curve_chinabond("1082",I$1,$B51)</f>
        <v>1.8173999999999999</v>
      </c>
      <c r="J51" s="7">
        <f ca="1">[1]!b_calc_curve_chinabond("1082",J$1,$B51)</f>
        <v>1.8037000000000001</v>
      </c>
      <c r="K51" s="7">
        <f ca="1">[1]!b_calc_curve_chinabond("1082",K$1,$B51)</f>
        <v>1.7985</v>
      </c>
      <c r="L51" s="7">
        <f ca="1">[1]!b_calc_curve_chinabond("1082",L$1,$B51)</f>
        <v>0</v>
      </c>
      <c r="M51" s="7">
        <f ca="1">[1]!b_calc_curve_chinabond("1082",M$1,$B51)</f>
        <v>0</v>
      </c>
      <c r="N51" s="7">
        <f ca="1">[1]!b_calc_curve_chinabond("1082",N$1,$B51)</f>
        <v>1.7936000000000001</v>
      </c>
      <c r="O51" s="7">
        <f ca="1">[1]!b_calc_curve_chinabond("1082",O$1,$B51)</f>
        <v>1.7827</v>
      </c>
      <c r="P51" s="7">
        <f ca="1">[1]!b_calc_curve_chinabond("1082",P$1,$B51)</f>
        <v>1.7796000000000001</v>
      </c>
      <c r="Q51" s="7">
        <f ca="1">[1]!b_calc_curve_chinabond("1082",Q$1,$B51)</f>
        <v>1.7667999999999999</v>
      </c>
      <c r="R51" s="7">
        <f ca="1">[1]!b_calc_curve_chinabond("1082",R$1,$B51)</f>
        <v>1.762</v>
      </c>
      <c r="S51" s="7">
        <f ca="1">[1]!b_calc_curve_chinabond("1082",S$1,$B51)</f>
        <v>0</v>
      </c>
      <c r="T51" s="7">
        <f ca="1">[1]!b_calc_curve_chinabond("1082",T$1,$B51)</f>
        <v>0</v>
      </c>
      <c r="U51" s="7">
        <f ca="1">[1]!b_calc_curve_chinabond("1082",U$1,$B51)</f>
        <v>1.7633000000000001</v>
      </c>
      <c r="V51" s="7">
        <f ca="1">[1]!b_calc_curve_chinabond("1082",V$1,$B51)</f>
        <v>1.7714000000000001</v>
      </c>
      <c r="W51" s="7">
        <f ca="1">[1]!b_calc_curve_chinabond("1082",W$1,$B51)</f>
        <v>1.7733000000000001</v>
      </c>
      <c r="X51" s="7">
        <f ca="1">[1]!b_calc_curve_chinabond("1082",X$1,$B51)</f>
        <v>1.7986</v>
      </c>
      <c r="Y51" s="7">
        <f ca="1">[1]!b_calc_curve_chinabond("1082",Y$1,$B51)</f>
        <v>1.8079000000000001</v>
      </c>
      <c r="Z51" s="7">
        <f ca="1">[1]!b_calc_curve_chinabond("1082",Z$1,$B51)</f>
        <v>0</v>
      </c>
      <c r="AA51" s="7">
        <f ca="1">[1]!b_calc_curve_chinabond("1082",AA$1,$B51)</f>
        <v>0</v>
      </c>
      <c r="AB51" s="7">
        <f ca="1">[1]!b_calc_curve_chinabond("1082",AB$1,$B51)</f>
        <v>1.8116000000000001</v>
      </c>
      <c r="AC51" s="7">
        <f ca="1">[1]!b_calc_curve_chinabond("1082",AC$1,$B51)</f>
        <v>1.8083</v>
      </c>
      <c r="AD51" s="7">
        <f ca="1">[1]!b_calc_curve_chinabond("1082",AD$1,$B51)</f>
        <v>1.8004</v>
      </c>
      <c r="AE51" s="7">
        <f ca="1">[1]!b_calc_curve_chinabond("1082",AE$1,$B51)</f>
        <v>1.7995000000000001</v>
      </c>
      <c r="AF51" s="7">
        <f ca="1">[1]!b_calc_curve_chinabond("1082",AF$1,$B51)</f>
        <v>0</v>
      </c>
      <c r="AG51" s="7">
        <f ca="1">[1]!b_calc_curve_chinabond("1082",AG$1,$B51)</f>
        <v>0</v>
      </c>
      <c r="AH51" s="7">
        <f ca="1">[1]!b_calc_curve_chinabond("1082",AH$1,$B51)</f>
        <v>0</v>
      </c>
      <c r="AI51" s="7">
        <f ca="1">[1]!b_calc_curve_chinabond("1082",AI$1,$B51)</f>
        <v>0</v>
      </c>
    </row>
    <row r="52" spans="1:35" ht="19.5" customHeight="1">
      <c r="A52" s="1" t="s">
        <v>52</v>
      </c>
      <c r="B52" s="2">
        <v>4.4000000000000004</v>
      </c>
      <c r="C52" s="7">
        <f ca="1">[1]!b_calc_curve_chinabond("1082",C$1,$B52)</f>
        <v>1.8502000000000001</v>
      </c>
      <c r="D52" s="7">
        <f ca="1">[1]!b_calc_curve_chinabond("1082",D$1,$B52)</f>
        <v>1.8480000000000001</v>
      </c>
      <c r="E52" s="7">
        <f ca="1">[1]!b_calc_curve_chinabond("1082",E$1,$B52)</f>
        <v>0</v>
      </c>
      <c r="F52" s="7">
        <f ca="1">[1]!b_calc_curve_chinabond("1082",F$1,$B52)</f>
        <v>0</v>
      </c>
      <c r="G52" s="7">
        <f ca="1">[1]!b_calc_curve_chinabond("1082",G$1,$B52)</f>
        <v>1.8448</v>
      </c>
      <c r="H52" s="7">
        <f ca="1">[1]!b_calc_curve_chinabond("1082",H$1,$B52)</f>
        <v>1.8351</v>
      </c>
      <c r="I52" s="7">
        <f ca="1">[1]!b_calc_curve_chinabond("1082",I$1,$B52)</f>
        <v>1.8249</v>
      </c>
      <c r="J52" s="7">
        <f ca="1">[1]!b_calc_curve_chinabond("1082",J$1,$B52)</f>
        <v>1.8117000000000001</v>
      </c>
      <c r="K52" s="7">
        <f ca="1">[1]!b_calc_curve_chinabond("1082",K$1,$B52)</f>
        <v>1.8057000000000001</v>
      </c>
      <c r="L52" s="7">
        <f ca="1">[1]!b_calc_curve_chinabond("1082",L$1,$B52)</f>
        <v>0</v>
      </c>
      <c r="M52" s="7">
        <f ca="1">[1]!b_calc_curve_chinabond("1082",M$1,$B52)</f>
        <v>0</v>
      </c>
      <c r="N52" s="7">
        <f ca="1">[1]!b_calc_curve_chinabond("1082",N$1,$B52)</f>
        <v>1.8013999999999999</v>
      </c>
      <c r="O52" s="7">
        <f ca="1">[1]!b_calc_curve_chinabond("1082",O$1,$B52)</f>
        <v>1.7898000000000001</v>
      </c>
      <c r="P52" s="7">
        <f ca="1">[1]!b_calc_curve_chinabond("1082",P$1,$B52)</f>
        <v>1.7864</v>
      </c>
      <c r="Q52" s="7">
        <f ca="1">[1]!b_calc_curve_chinabond("1082",Q$1,$B52)</f>
        <v>1.7738</v>
      </c>
      <c r="R52" s="7">
        <f ca="1">[1]!b_calc_curve_chinabond("1082",R$1,$B52)</f>
        <v>1.7683</v>
      </c>
      <c r="S52" s="7">
        <f ca="1">[1]!b_calc_curve_chinabond("1082",S$1,$B52)</f>
        <v>0</v>
      </c>
      <c r="T52" s="7">
        <f ca="1">[1]!b_calc_curve_chinabond("1082",T$1,$B52)</f>
        <v>0</v>
      </c>
      <c r="U52" s="7">
        <f ca="1">[1]!b_calc_curve_chinabond("1082",U$1,$B52)</f>
        <v>1.7713000000000001</v>
      </c>
      <c r="V52" s="7">
        <f ca="1">[1]!b_calc_curve_chinabond("1082",V$1,$B52)</f>
        <v>1.7807999999999999</v>
      </c>
      <c r="W52" s="7">
        <f ca="1">[1]!b_calc_curve_chinabond("1082",W$1,$B52)</f>
        <v>1.7850999999999999</v>
      </c>
      <c r="X52" s="7">
        <f ca="1">[1]!b_calc_curve_chinabond("1082",X$1,$B52)</f>
        <v>1.8102</v>
      </c>
      <c r="Y52" s="7">
        <f ca="1">[1]!b_calc_curve_chinabond("1082",Y$1,$B52)</f>
        <v>1.8196000000000001</v>
      </c>
      <c r="Z52" s="7">
        <f ca="1">[1]!b_calc_curve_chinabond("1082",Z$1,$B52)</f>
        <v>0</v>
      </c>
      <c r="AA52" s="7">
        <f ca="1">[1]!b_calc_curve_chinabond("1082",AA$1,$B52)</f>
        <v>0</v>
      </c>
      <c r="AB52" s="7">
        <f ca="1">[1]!b_calc_curve_chinabond("1082",AB$1,$B52)</f>
        <v>1.8229</v>
      </c>
      <c r="AC52" s="7">
        <f ca="1">[1]!b_calc_curve_chinabond("1082",AC$1,$B52)</f>
        <v>1.8194999999999999</v>
      </c>
      <c r="AD52" s="7">
        <f ca="1">[1]!b_calc_curve_chinabond("1082",AD$1,$B52)</f>
        <v>1.8120000000000001</v>
      </c>
      <c r="AE52" s="7">
        <f ca="1">[1]!b_calc_curve_chinabond("1082",AE$1,$B52)</f>
        <v>1.8106</v>
      </c>
      <c r="AF52" s="7">
        <f ca="1">[1]!b_calc_curve_chinabond("1082",AF$1,$B52)</f>
        <v>0</v>
      </c>
      <c r="AG52" s="7">
        <f ca="1">[1]!b_calc_curve_chinabond("1082",AG$1,$B52)</f>
        <v>0</v>
      </c>
      <c r="AH52" s="7">
        <f ca="1">[1]!b_calc_curve_chinabond("1082",AH$1,$B52)</f>
        <v>0</v>
      </c>
      <c r="AI52" s="7">
        <f ca="1">[1]!b_calc_curve_chinabond("1082",AI$1,$B52)</f>
        <v>0</v>
      </c>
    </row>
    <row r="53" spans="1:35" ht="19.5" customHeight="1">
      <c r="A53" s="3" t="s">
        <v>53</v>
      </c>
      <c r="B53" s="4">
        <v>4.5</v>
      </c>
      <c r="C53" s="7">
        <f ca="1">[1]!b_calc_curve_chinabond("1082",C$1,$B53)</f>
        <v>1.8575999999999999</v>
      </c>
      <c r="D53" s="7">
        <f ca="1">[1]!b_calc_curve_chinabond("1082",D$1,$B53)</f>
        <v>1.8553999999999999</v>
      </c>
      <c r="E53" s="7">
        <f ca="1">[1]!b_calc_curve_chinabond("1082",E$1,$B53)</f>
        <v>0</v>
      </c>
      <c r="F53" s="7">
        <f ca="1">[1]!b_calc_curve_chinabond("1082",F$1,$B53)</f>
        <v>0</v>
      </c>
      <c r="G53" s="7">
        <f ca="1">[1]!b_calc_curve_chinabond("1082",G$1,$B53)</f>
        <v>1.8521000000000001</v>
      </c>
      <c r="H53" s="7">
        <f ca="1">[1]!b_calc_curve_chinabond("1082",H$1,$B53)</f>
        <v>1.8416999999999999</v>
      </c>
      <c r="I53" s="7">
        <f ca="1">[1]!b_calc_curve_chinabond("1082",I$1,$B53)</f>
        <v>1.8322000000000001</v>
      </c>
      <c r="J53" s="7">
        <f ca="1">[1]!b_calc_curve_chinabond("1082",J$1,$B53)</f>
        <v>1.8197000000000001</v>
      </c>
      <c r="K53" s="7">
        <f ca="1">[1]!b_calc_curve_chinabond("1082",K$1,$B53)</f>
        <v>1.8127</v>
      </c>
      <c r="L53" s="7">
        <f ca="1">[1]!b_calc_curve_chinabond("1082",L$1,$B53)</f>
        <v>0</v>
      </c>
      <c r="M53" s="7">
        <f ca="1">[1]!b_calc_curve_chinabond("1082",M$1,$B53)</f>
        <v>0</v>
      </c>
      <c r="N53" s="7">
        <f ca="1">[1]!b_calc_curve_chinabond("1082",N$1,$B53)</f>
        <v>1.8089999999999999</v>
      </c>
      <c r="O53" s="7">
        <f ca="1">[1]!b_calc_curve_chinabond("1082",O$1,$B53)</f>
        <v>1.7966</v>
      </c>
      <c r="P53" s="7">
        <f ca="1">[1]!b_calc_curve_chinabond("1082",P$1,$B53)</f>
        <v>1.7927</v>
      </c>
      <c r="Q53" s="7">
        <f ca="1">[1]!b_calc_curve_chinabond("1082",Q$1,$B53)</f>
        <v>1.7806</v>
      </c>
      <c r="R53" s="7">
        <f ca="1">[1]!b_calc_curve_chinabond("1082",R$1,$B53)</f>
        <v>1.7742</v>
      </c>
      <c r="S53" s="7">
        <f ca="1">[1]!b_calc_curve_chinabond("1082",S$1,$B53)</f>
        <v>0</v>
      </c>
      <c r="T53" s="7">
        <f ca="1">[1]!b_calc_curve_chinabond("1082",T$1,$B53)</f>
        <v>0</v>
      </c>
      <c r="U53" s="7">
        <f ca="1">[1]!b_calc_curve_chinabond("1082",U$1,$B53)</f>
        <v>1.7795000000000001</v>
      </c>
      <c r="V53" s="7">
        <f ca="1">[1]!b_calc_curve_chinabond("1082",V$1,$B53)</f>
        <v>1.7906</v>
      </c>
      <c r="W53" s="7">
        <f ca="1">[1]!b_calc_curve_chinabond("1082",W$1,$B53)</f>
        <v>1.7979000000000001</v>
      </c>
      <c r="X53" s="7">
        <f ca="1">[1]!b_calc_curve_chinabond("1082",X$1,$B53)</f>
        <v>1.8228</v>
      </c>
      <c r="Y53" s="7">
        <f ca="1">[1]!b_calc_curve_chinabond("1082",Y$1,$B53)</f>
        <v>1.8325</v>
      </c>
      <c r="Z53" s="7">
        <f ca="1">[1]!b_calc_curve_chinabond("1082",Z$1,$B53)</f>
        <v>0</v>
      </c>
      <c r="AA53" s="7">
        <f ca="1">[1]!b_calc_curve_chinabond("1082",AA$1,$B53)</f>
        <v>0</v>
      </c>
      <c r="AB53" s="7">
        <f ca="1">[1]!b_calc_curve_chinabond("1082",AB$1,$B53)</f>
        <v>1.8351</v>
      </c>
      <c r="AC53" s="7">
        <f ca="1">[1]!b_calc_curve_chinabond("1082",AC$1,$B53)</f>
        <v>1.8317000000000001</v>
      </c>
      <c r="AD53" s="7">
        <f ca="1">[1]!b_calc_curve_chinabond("1082",AD$1,$B53)</f>
        <v>1.8246</v>
      </c>
      <c r="AE53" s="7">
        <f ca="1">[1]!b_calc_curve_chinabond("1082",AE$1,$B53)</f>
        <v>1.8225</v>
      </c>
      <c r="AF53" s="7">
        <f ca="1">[1]!b_calc_curve_chinabond("1082",AF$1,$B53)</f>
        <v>0</v>
      </c>
      <c r="AG53" s="7">
        <f ca="1">[1]!b_calc_curve_chinabond("1082",AG$1,$B53)</f>
        <v>0</v>
      </c>
      <c r="AH53" s="7">
        <f ca="1">[1]!b_calc_curve_chinabond("1082",AH$1,$B53)</f>
        <v>0</v>
      </c>
      <c r="AI53" s="7">
        <f ca="1">[1]!b_calc_curve_chinabond("1082",AI$1,$B53)</f>
        <v>0</v>
      </c>
    </row>
    <row r="54" spans="1:35" ht="19.5" customHeight="1">
      <c r="A54" s="1" t="s">
        <v>54</v>
      </c>
      <c r="B54" s="2">
        <v>4.5999999999999996</v>
      </c>
      <c r="C54" s="7">
        <f ca="1">[1]!b_calc_curve_chinabond("1082",C$1,$B54)</f>
        <v>1.8649</v>
      </c>
      <c r="D54" s="7">
        <f ca="1">[1]!b_calc_curve_chinabond("1082",D$1,$B54)</f>
        <v>1.8626</v>
      </c>
      <c r="E54" s="7">
        <f ca="1">[1]!b_calc_curve_chinabond("1082",E$1,$B54)</f>
        <v>0</v>
      </c>
      <c r="F54" s="7">
        <f ca="1">[1]!b_calc_curve_chinabond("1082",F$1,$B54)</f>
        <v>0</v>
      </c>
      <c r="G54" s="7">
        <f ca="1">[1]!b_calc_curve_chinabond("1082",G$1,$B54)</f>
        <v>1.8593</v>
      </c>
      <c r="H54" s="7">
        <f ca="1">[1]!b_calc_curve_chinabond("1082",H$1,$B54)</f>
        <v>1.8481000000000001</v>
      </c>
      <c r="I54" s="7">
        <f ca="1">[1]!b_calc_curve_chinabond("1082",I$1,$B54)</f>
        <v>1.8394999999999999</v>
      </c>
      <c r="J54" s="7">
        <f ca="1">[1]!b_calc_curve_chinabond("1082",J$1,$B54)</f>
        <v>1.8275999999999999</v>
      </c>
      <c r="K54" s="7">
        <f ca="1">[1]!b_calc_curve_chinabond("1082",K$1,$B54)</f>
        <v>1.8197000000000001</v>
      </c>
      <c r="L54" s="7">
        <f ca="1">[1]!b_calc_curve_chinabond("1082",L$1,$B54)</f>
        <v>0</v>
      </c>
      <c r="M54" s="7">
        <f ca="1">[1]!b_calc_curve_chinabond("1082",M$1,$B54)</f>
        <v>0</v>
      </c>
      <c r="N54" s="7">
        <f ca="1">[1]!b_calc_curve_chinabond("1082",N$1,$B54)</f>
        <v>1.8166</v>
      </c>
      <c r="O54" s="7">
        <f ca="1">[1]!b_calc_curve_chinabond("1082",O$1,$B54)</f>
        <v>1.8033999999999999</v>
      </c>
      <c r="P54" s="7">
        <f ca="1">[1]!b_calc_curve_chinabond("1082",P$1,$B54)</f>
        <v>1.7988</v>
      </c>
      <c r="Q54" s="7">
        <f ca="1">[1]!b_calc_curve_chinabond("1082",Q$1,$B54)</f>
        <v>1.7874000000000001</v>
      </c>
      <c r="R54" s="7">
        <f ca="1">[1]!b_calc_curve_chinabond("1082",R$1,$B54)</f>
        <v>1.7801</v>
      </c>
      <c r="S54" s="7">
        <f ca="1">[1]!b_calc_curve_chinabond("1082",S$1,$B54)</f>
        <v>0</v>
      </c>
      <c r="T54" s="7">
        <f ca="1">[1]!b_calc_curve_chinabond("1082",T$1,$B54)</f>
        <v>0</v>
      </c>
      <c r="U54" s="7">
        <f ca="1">[1]!b_calc_curve_chinabond("1082",U$1,$B54)</f>
        <v>1.7879</v>
      </c>
      <c r="V54" s="7">
        <f ca="1">[1]!b_calc_curve_chinabond("1082",V$1,$B54)</f>
        <v>1.8007</v>
      </c>
      <c r="W54" s="7">
        <f ca="1">[1]!b_calc_curve_chinabond("1082",W$1,$B54)</f>
        <v>1.8113999999999999</v>
      </c>
      <c r="X54" s="7">
        <f ca="1">[1]!b_calc_curve_chinabond("1082",X$1,$B54)</f>
        <v>1.8361000000000001</v>
      </c>
      <c r="Y54" s="7">
        <f ca="1">[1]!b_calc_curve_chinabond("1082",Y$1,$B54)</f>
        <v>1.8460000000000001</v>
      </c>
      <c r="Z54" s="7">
        <f ca="1">[1]!b_calc_curve_chinabond("1082",Z$1,$B54)</f>
        <v>0</v>
      </c>
      <c r="AA54" s="7">
        <f ca="1">[1]!b_calc_curve_chinabond("1082",AA$1,$B54)</f>
        <v>0</v>
      </c>
      <c r="AB54" s="7">
        <f ca="1">[1]!b_calc_curve_chinabond("1082",AB$1,$B54)</f>
        <v>1.8480000000000001</v>
      </c>
      <c r="AC54" s="7">
        <f ca="1">[1]!b_calc_curve_chinabond("1082",AC$1,$B54)</f>
        <v>1.8446</v>
      </c>
      <c r="AD54" s="7">
        <f ca="1">[1]!b_calc_curve_chinabond("1082",AD$1,$B54)</f>
        <v>1.8379000000000001</v>
      </c>
      <c r="AE54" s="7">
        <f ca="1">[1]!b_calc_curve_chinabond("1082",AE$1,$B54)</f>
        <v>1.8349</v>
      </c>
      <c r="AF54" s="7">
        <f ca="1">[1]!b_calc_curve_chinabond("1082",AF$1,$B54)</f>
        <v>0</v>
      </c>
      <c r="AG54" s="7">
        <f ca="1">[1]!b_calc_curve_chinabond("1082",AG$1,$B54)</f>
        <v>0</v>
      </c>
      <c r="AH54" s="7">
        <f ca="1">[1]!b_calc_curve_chinabond("1082",AH$1,$B54)</f>
        <v>0</v>
      </c>
      <c r="AI54" s="7">
        <f ca="1">[1]!b_calc_curve_chinabond("1082",AI$1,$B54)</f>
        <v>0</v>
      </c>
    </row>
    <row r="55" spans="1:35" ht="19.5" customHeight="1">
      <c r="A55" s="3" t="s">
        <v>55</v>
      </c>
      <c r="B55" s="4">
        <v>4.7</v>
      </c>
      <c r="C55" s="7">
        <f ca="1">[1]!b_calc_curve_chinabond("1082",C$1,$B55)</f>
        <v>1.8722000000000001</v>
      </c>
      <c r="D55" s="7">
        <f ca="1">[1]!b_calc_curve_chinabond("1082",D$1,$B55)</f>
        <v>1.8696999999999999</v>
      </c>
      <c r="E55" s="7">
        <f ca="1">[1]!b_calc_curve_chinabond("1082",E$1,$B55)</f>
        <v>0</v>
      </c>
      <c r="F55" s="7">
        <f ca="1">[1]!b_calc_curve_chinabond("1082",F$1,$B55)</f>
        <v>0</v>
      </c>
      <c r="G55" s="7">
        <f ca="1">[1]!b_calc_curve_chinabond("1082",G$1,$B55)</f>
        <v>1.8663000000000001</v>
      </c>
      <c r="H55" s="7">
        <f ca="1">[1]!b_calc_curve_chinabond("1082",H$1,$B55)</f>
        <v>1.8544</v>
      </c>
      <c r="I55" s="7">
        <f ca="1">[1]!b_calc_curve_chinabond("1082",I$1,$B55)</f>
        <v>1.8467</v>
      </c>
      <c r="J55" s="7">
        <f ca="1">[1]!b_calc_curve_chinabond("1082",J$1,$B55)</f>
        <v>1.8354999999999999</v>
      </c>
      <c r="K55" s="7">
        <f ca="1">[1]!b_calc_curve_chinabond("1082",K$1,$B55)</f>
        <v>1.8265</v>
      </c>
      <c r="L55" s="7">
        <f ca="1">[1]!b_calc_curve_chinabond("1082",L$1,$B55)</f>
        <v>0</v>
      </c>
      <c r="M55" s="7">
        <f ca="1">[1]!b_calc_curve_chinabond("1082",M$1,$B55)</f>
        <v>0</v>
      </c>
      <c r="N55" s="7">
        <f ca="1">[1]!b_calc_curve_chinabond("1082",N$1,$B55)</f>
        <v>1.8242</v>
      </c>
      <c r="O55" s="7">
        <f ca="1">[1]!b_calc_curve_chinabond("1082",O$1,$B55)</f>
        <v>1.8101</v>
      </c>
      <c r="P55" s="7">
        <f ca="1">[1]!b_calc_curve_chinabond("1082",P$1,$B55)</f>
        <v>1.8048</v>
      </c>
      <c r="Q55" s="7">
        <f ca="1">[1]!b_calc_curve_chinabond("1082",Q$1,$B55)</f>
        <v>1.794</v>
      </c>
      <c r="R55" s="7">
        <f ca="1">[1]!b_calc_curve_chinabond("1082",R$1,$B55)</f>
        <v>1.7858000000000001</v>
      </c>
      <c r="S55" s="7">
        <f ca="1">[1]!b_calc_curve_chinabond("1082",S$1,$B55)</f>
        <v>0</v>
      </c>
      <c r="T55" s="7">
        <f ca="1">[1]!b_calc_curve_chinabond("1082",T$1,$B55)</f>
        <v>0</v>
      </c>
      <c r="U55" s="7">
        <f ca="1">[1]!b_calc_curve_chinabond("1082",U$1,$B55)</f>
        <v>1.7962</v>
      </c>
      <c r="V55" s="7">
        <f ca="1">[1]!b_calc_curve_chinabond("1082",V$1,$B55)</f>
        <v>1.8109999999999999</v>
      </c>
      <c r="W55" s="7">
        <f ca="1">[1]!b_calc_curve_chinabond("1082",W$1,$B55)</f>
        <v>1.8250999999999999</v>
      </c>
      <c r="X55" s="7">
        <f ca="1">[1]!b_calc_curve_chinabond("1082",X$1,$B55)</f>
        <v>1.8495999999999999</v>
      </c>
      <c r="Y55" s="7">
        <f ca="1">[1]!b_calc_curve_chinabond("1082",Y$1,$B55)</f>
        <v>1.8597999999999999</v>
      </c>
      <c r="Z55" s="7">
        <f ca="1">[1]!b_calc_curve_chinabond("1082",Z$1,$B55)</f>
        <v>0</v>
      </c>
      <c r="AA55" s="7">
        <f ca="1">[1]!b_calc_curve_chinabond("1082",AA$1,$B55)</f>
        <v>0</v>
      </c>
      <c r="AB55" s="7">
        <f ca="1">[1]!b_calc_curve_chinabond("1082",AB$1,$B55)</f>
        <v>1.861</v>
      </c>
      <c r="AC55" s="7">
        <f ca="1">[1]!b_calc_curve_chinabond("1082",AC$1,$B55)</f>
        <v>1.8576999999999999</v>
      </c>
      <c r="AD55" s="7">
        <f ca="1">[1]!b_calc_curve_chinabond("1082",AD$1,$B55)</f>
        <v>1.8513999999999999</v>
      </c>
      <c r="AE55" s="7">
        <f ca="1">[1]!b_calc_curve_chinabond("1082",AE$1,$B55)</f>
        <v>1.8474999999999999</v>
      </c>
      <c r="AF55" s="7">
        <f ca="1">[1]!b_calc_curve_chinabond("1082",AF$1,$B55)</f>
        <v>0</v>
      </c>
      <c r="AG55" s="7">
        <f ca="1">[1]!b_calc_curve_chinabond("1082",AG$1,$B55)</f>
        <v>0</v>
      </c>
      <c r="AH55" s="7">
        <f ca="1">[1]!b_calc_curve_chinabond("1082",AH$1,$B55)</f>
        <v>0</v>
      </c>
      <c r="AI55" s="7">
        <f ca="1">[1]!b_calc_curve_chinabond("1082",AI$1,$B55)</f>
        <v>0</v>
      </c>
    </row>
    <row r="56" spans="1:35" ht="19.5" customHeight="1">
      <c r="A56" s="1" t="s">
        <v>56</v>
      </c>
      <c r="B56" s="2">
        <v>4.8</v>
      </c>
      <c r="C56" s="7">
        <f ca="1">[1]!b_calc_curve_chinabond("1082",C$1,$B56)</f>
        <v>1.8794</v>
      </c>
      <c r="D56" s="7">
        <f ca="1">[1]!b_calc_curve_chinabond("1082",D$1,$B56)</f>
        <v>1.8769</v>
      </c>
      <c r="E56" s="7">
        <f ca="1">[1]!b_calc_curve_chinabond("1082",E$1,$B56)</f>
        <v>0</v>
      </c>
      <c r="F56" s="7">
        <f ca="1">[1]!b_calc_curve_chinabond("1082",F$1,$B56)</f>
        <v>0</v>
      </c>
      <c r="G56" s="7">
        <f ca="1">[1]!b_calc_curve_chinabond("1082",G$1,$B56)</f>
        <v>1.8734999999999999</v>
      </c>
      <c r="H56" s="7">
        <f ca="1">[1]!b_calc_curve_chinabond("1082",H$1,$B56)</f>
        <v>1.8608</v>
      </c>
      <c r="I56" s="7">
        <f ca="1">[1]!b_calc_curve_chinabond("1082",I$1,$B56)</f>
        <v>1.8539000000000001</v>
      </c>
      <c r="J56" s="7">
        <f ca="1">[1]!b_calc_curve_chinabond("1082",J$1,$B56)</f>
        <v>1.8434999999999999</v>
      </c>
      <c r="K56" s="7">
        <f ca="1">[1]!b_calc_curve_chinabond("1082",K$1,$B56)</f>
        <v>1.8333999999999999</v>
      </c>
      <c r="L56" s="7">
        <f ca="1">[1]!b_calc_curve_chinabond("1082",L$1,$B56)</f>
        <v>0</v>
      </c>
      <c r="M56" s="7">
        <f ca="1">[1]!b_calc_curve_chinabond("1082",M$1,$B56)</f>
        <v>0</v>
      </c>
      <c r="N56" s="7">
        <f ca="1">[1]!b_calc_curve_chinabond("1082",N$1,$B56)</f>
        <v>1.8318000000000001</v>
      </c>
      <c r="O56" s="7">
        <f ca="1">[1]!b_calc_curve_chinabond("1082",O$1,$B56)</f>
        <v>1.8168</v>
      </c>
      <c r="P56" s="7">
        <f ca="1">[1]!b_calc_curve_chinabond("1082",P$1,$B56)</f>
        <v>1.8108</v>
      </c>
      <c r="Q56" s="7">
        <f ca="1">[1]!b_calc_curve_chinabond("1082",Q$1,$B56)</f>
        <v>1.8007</v>
      </c>
      <c r="R56" s="7">
        <f ca="1">[1]!b_calc_curve_chinabond("1082",R$1,$B56)</f>
        <v>1.7916000000000001</v>
      </c>
      <c r="S56" s="7">
        <f ca="1">[1]!b_calc_curve_chinabond("1082",S$1,$B56)</f>
        <v>0</v>
      </c>
      <c r="T56" s="7">
        <f ca="1">[1]!b_calc_curve_chinabond("1082",T$1,$B56)</f>
        <v>0</v>
      </c>
      <c r="U56" s="7">
        <f ca="1">[1]!b_calc_curve_chinabond("1082",U$1,$B56)</f>
        <v>1.8046</v>
      </c>
      <c r="V56" s="7">
        <f ca="1">[1]!b_calc_curve_chinabond("1082",V$1,$B56)</f>
        <v>1.8211999999999999</v>
      </c>
      <c r="W56" s="7">
        <f ca="1">[1]!b_calc_curve_chinabond("1082",W$1,$B56)</f>
        <v>1.8387</v>
      </c>
      <c r="X56" s="7">
        <f ca="1">[1]!b_calc_curve_chinabond("1082",X$1,$B56)</f>
        <v>1.8629</v>
      </c>
      <c r="Y56" s="7">
        <f ca="1">[1]!b_calc_curve_chinabond("1082",Y$1,$B56)</f>
        <v>1.8734999999999999</v>
      </c>
      <c r="Z56" s="7">
        <f ca="1">[1]!b_calc_curve_chinabond("1082",Z$1,$B56)</f>
        <v>0</v>
      </c>
      <c r="AA56" s="7">
        <f ca="1">[1]!b_calc_curve_chinabond("1082",AA$1,$B56)</f>
        <v>0</v>
      </c>
      <c r="AB56" s="7">
        <f ca="1">[1]!b_calc_curve_chinabond("1082",AB$1,$B56)</f>
        <v>1.8740000000000001</v>
      </c>
      <c r="AC56" s="7">
        <f ca="1">[1]!b_calc_curve_chinabond("1082",AC$1,$B56)</f>
        <v>1.8707</v>
      </c>
      <c r="AD56" s="7">
        <f ca="1">[1]!b_calc_curve_chinabond("1082",AD$1,$B56)</f>
        <v>1.8649</v>
      </c>
      <c r="AE56" s="7">
        <f ca="1">[1]!b_calc_curve_chinabond("1082",AE$1,$B56)</f>
        <v>1.8601000000000001</v>
      </c>
      <c r="AF56" s="7">
        <f ca="1">[1]!b_calc_curve_chinabond("1082",AF$1,$B56)</f>
        <v>0</v>
      </c>
      <c r="AG56" s="7">
        <f ca="1">[1]!b_calc_curve_chinabond("1082",AG$1,$B56)</f>
        <v>0</v>
      </c>
      <c r="AH56" s="7">
        <f ca="1">[1]!b_calc_curve_chinabond("1082",AH$1,$B56)</f>
        <v>0</v>
      </c>
      <c r="AI56" s="7">
        <f ca="1">[1]!b_calc_curve_chinabond("1082",AI$1,$B56)</f>
        <v>0</v>
      </c>
    </row>
    <row r="57" spans="1:35" ht="19.5" customHeight="1">
      <c r="A57" s="3" t="s">
        <v>57</v>
      </c>
      <c r="B57" s="4">
        <v>4.9000000000000004</v>
      </c>
      <c r="C57" s="7">
        <f ca="1">[1]!b_calc_curve_chinabond("1082",C$1,$B57)</f>
        <v>1.8868</v>
      </c>
      <c r="D57" s="7">
        <f ca="1">[1]!b_calc_curve_chinabond("1082",D$1,$B57)</f>
        <v>1.8842000000000001</v>
      </c>
      <c r="E57" s="7">
        <f ca="1">[1]!b_calc_curve_chinabond("1082",E$1,$B57)</f>
        <v>0</v>
      </c>
      <c r="F57" s="7">
        <f ca="1">[1]!b_calc_curve_chinabond("1082",F$1,$B57)</f>
        <v>0</v>
      </c>
      <c r="G57" s="7">
        <f ca="1">[1]!b_calc_curve_chinabond("1082",G$1,$B57)</f>
        <v>1.8807</v>
      </c>
      <c r="H57" s="7">
        <f ca="1">[1]!b_calc_curve_chinabond("1082",H$1,$B57)</f>
        <v>1.8673</v>
      </c>
      <c r="I57" s="7">
        <f ca="1">[1]!b_calc_curve_chinabond("1082",I$1,$B57)</f>
        <v>1.8612</v>
      </c>
      <c r="J57" s="7">
        <f ca="1">[1]!b_calc_curve_chinabond("1082",J$1,$B57)</f>
        <v>1.8513999999999999</v>
      </c>
      <c r="K57" s="7">
        <f ca="1">[1]!b_calc_curve_chinabond("1082",K$1,$B57)</f>
        <v>1.8404</v>
      </c>
      <c r="L57" s="7">
        <f ca="1">[1]!b_calc_curve_chinabond("1082",L$1,$B57)</f>
        <v>0</v>
      </c>
      <c r="M57" s="7">
        <f ca="1">[1]!b_calc_curve_chinabond("1082",M$1,$B57)</f>
        <v>0</v>
      </c>
      <c r="N57" s="7">
        <f ca="1">[1]!b_calc_curve_chinabond("1082",N$1,$B57)</f>
        <v>1.8393999999999999</v>
      </c>
      <c r="O57" s="7">
        <f ca="1">[1]!b_calc_curve_chinabond("1082",O$1,$B57)</f>
        <v>1.8237000000000001</v>
      </c>
      <c r="P57" s="7">
        <f ca="1">[1]!b_calc_curve_chinabond("1082",P$1,$B57)</f>
        <v>1.8170999999999999</v>
      </c>
      <c r="Q57" s="7">
        <f ca="1">[1]!b_calc_curve_chinabond("1082",Q$1,$B57)</f>
        <v>1.8075000000000001</v>
      </c>
      <c r="R57" s="7">
        <f ca="1">[1]!b_calc_curve_chinabond("1082",R$1,$B57)</f>
        <v>1.7975000000000001</v>
      </c>
      <c r="S57" s="7">
        <f ca="1">[1]!b_calc_curve_chinabond("1082",S$1,$B57)</f>
        <v>0</v>
      </c>
      <c r="T57" s="7">
        <f ca="1">[1]!b_calc_curve_chinabond("1082",T$1,$B57)</f>
        <v>0</v>
      </c>
      <c r="U57" s="7">
        <f ca="1">[1]!b_calc_curve_chinabond("1082",U$1,$B57)</f>
        <v>1.8129</v>
      </c>
      <c r="V57" s="7">
        <f ca="1">[1]!b_calc_curve_chinabond("1082",V$1,$B57)</f>
        <v>1.8310999999999999</v>
      </c>
      <c r="W57" s="7">
        <f ca="1">[1]!b_calc_curve_chinabond("1082",W$1,$B57)</f>
        <v>1.8517999999999999</v>
      </c>
      <c r="X57" s="7">
        <f ca="1">[1]!b_calc_curve_chinabond("1082",X$1,$B57)</f>
        <v>1.8757999999999999</v>
      </c>
      <c r="Y57" s="7">
        <f ca="1">[1]!b_calc_curve_chinabond("1082",Y$1,$B57)</f>
        <v>1.8866000000000001</v>
      </c>
      <c r="Z57" s="7">
        <f ca="1">[1]!b_calc_curve_chinabond("1082",Z$1,$B57)</f>
        <v>0</v>
      </c>
      <c r="AA57" s="7">
        <f ca="1">[1]!b_calc_curve_chinabond("1082",AA$1,$B57)</f>
        <v>0</v>
      </c>
      <c r="AB57" s="7">
        <f ca="1">[1]!b_calc_curve_chinabond("1082",AB$1,$B57)</f>
        <v>1.8864000000000001</v>
      </c>
      <c r="AC57" s="7">
        <f ca="1">[1]!b_calc_curve_chinabond("1082",AC$1,$B57)</f>
        <v>1.8832</v>
      </c>
      <c r="AD57" s="7">
        <f ca="1">[1]!b_calc_curve_chinabond("1082",AD$1,$B57)</f>
        <v>1.8777999999999999</v>
      </c>
      <c r="AE57" s="7">
        <f ca="1">[1]!b_calc_curve_chinabond("1082",AE$1,$B57)</f>
        <v>1.8722000000000001</v>
      </c>
      <c r="AF57" s="7">
        <f ca="1">[1]!b_calc_curve_chinabond("1082",AF$1,$B57)</f>
        <v>0</v>
      </c>
      <c r="AG57" s="7">
        <f ca="1">[1]!b_calc_curve_chinabond("1082",AG$1,$B57)</f>
        <v>0</v>
      </c>
      <c r="AH57" s="7">
        <f ca="1">[1]!b_calc_curve_chinabond("1082",AH$1,$B57)</f>
        <v>0</v>
      </c>
      <c r="AI57" s="7">
        <f ca="1">[1]!b_calc_curve_chinabond("1082",AI$1,$B57)</f>
        <v>0</v>
      </c>
    </row>
    <row r="58" spans="1:35" ht="19.5" customHeight="1">
      <c r="A58" s="1" t="s">
        <v>58</v>
      </c>
      <c r="B58" s="2">
        <v>5</v>
      </c>
      <c r="C58" s="7">
        <f ca="1">[1]!b_calc_curve_chinabond("1082",C$1,$B58)</f>
        <v>1.8943000000000001</v>
      </c>
      <c r="D58" s="7">
        <f ca="1">[1]!b_calc_curve_chinabond("1082",D$1,$B58)</f>
        <v>1.8916999999999999</v>
      </c>
      <c r="E58" s="7">
        <f ca="1">[1]!b_calc_curve_chinabond("1082",E$1,$B58)</f>
        <v>0</v>
      </c>
      <c r="F58" s="7">
        <f ca="1">[1]!b_calc_curve_chinabond("1082",F$1,$B58)</f>
        <v>0</v>
      </c>
      <c r="G58" s="7">
        <f ca="1">[1]!b_calc_curve_chinabond("1082",G$1,$B58)</f>
        <v>1.8882000000000001</v>
      </c>
      <c r="H58" s="7">
        <f ca="1">[1]!b_calc_curve_chinabond("1082",H$1,$B58)</f>
        <v>1.8741000000000001</v>
      </c>
      <c r="I58" s="7">
        <f ca="1">[1]!b_calc_curve_chinabond("1082",I$1,$B58)</f>
        <v>1.8686</v>
      </c>
      <c r="J58" s="7">
        <f ca="1">[1]!b_calc_curve_chinabond("1082",J$1,$B58)</f>
        <v>1.8593999999999999</v>
      </c>
      <c r="K58" s="7">
        <f ca="1">[1]!b_calc_curve_chinabond("1082",K$1,$B58)</f>
        <v>1.8475999999999999</v>
      </c>
      <c r="L58" s="7">
        <f ca="1">[1]!b_calc_curve_chinabond("1082",L$1,$B58)</f>
        <v>0</v>
      </c>
      <c r="M58" s="7">
        <f ca="1">[1]!b_calc_curve_chinabond("1082",M$1,$B58)</f>
        <v>0</v>
      </c>
      <c r="N58" s="7">
        <f ca="1">[1]!b_calc_curve_chinabond("1082",N$1,$B58)</f>
        <v>1.8472</v>
      </c>
      <c r="O58" s="7">
        <f ca="1">[1]!b_calc_curve_chinabond("1082",O$1,$B58)</f>
        <v>1.8307</v>
      </c>
      <c r="P58" s="7">
        <f ca="1">[1]!b_calc_curve_chinabond("1082",P$1,$B58)</f>
        <v>1.8236000000000001</v>
      </c>
      <c r="Q58" s="7">
        <f ca="1">[1]!b_calc_curve_chinabond("1082",Q$1,$B58)</f>
        <v>1.8145</v>
      </c>
      <c r="R58" s="7">
        <f ca="1">[1]!b_calc_curve_chinabond("1082",R$1,$B58)</f>
        <v>1.8037000000000001</v>
      </c>
      <c r="S58" s="7">
        <f ca="1">[1]!b_calc_curve_chinabond("1082",S$1,$B58)</f>
        <v>0</v>
      </c>
      <c r="T58" s="7">
        <f ca="1">[1]!b_calc_curve_chinabond("1082",T$1,$B58)</f>
        <v>0</v>
      </c>
      <c r="U58" s="7">
        <f ca="1">[1]!b_calc_curve_chinabond("1082",U$1,$B58)</f>
        <v>1.821</v>
      </c>
      <c r="V58" s="7">
        <f ca="1">[1]!b_calc_curve_chinabond("1082",V$1,$B58)</f>
        <v>1.8407</v>
      </c>
      <c r="W58" s="7">
        <f ca="1">[1]!b_calc_curve_chinabond("1082",W$1,$B58)</f>
        <v>1.8640000000000001</v>
      </c>
      <c r="X58" s="7">
        <f ca="1">[1]!b_calc_curve_chinabond("1082",X$1,$B58)</f>
        <v>1.8877999999999999</v>
      </c>
      <c r="Y58" s="7">
        <f ca="1">[1]!b_calc_curve_chinabond("1082",Y$1,$B58)</f>
        <v>1.8988</v>
      </c>
      <c r="Z58" s="7">
        <f ca="1">[1]!b_calc_curve_chinabond("1082",Z$1,$B58)</f>
        <v>0</v>
      </c>
      <c r="AA58" s="7">
        <f ca="1">[1]!b_calc_curve_chinabond("1082",AA$1,$B58)</f>
        <v>0</v>
      </c>
      <c r="AB58" s="7">
        <f ca="1">[1]!b_calc_curve_chinabond("1082",AB$1,$B58)</f>
        <v>1.8980999999999999</v>
      </c>
      <c r="AC58" s="7">
        <f ca="1">[1]!b_calc_curve_chinabond("1082",AC$1,$B58)</f>
        <v>1.8947000000000001</v>
      </c>
      <c r="AD58" s="7">
        <f ca="1">[1]!b_calc_curve_chinabond("1082",AD$1,$B58)</f>
        <v>1.8896999999999999</v>
      </c>
      <c r="AE58" s="7">
        <f ca="1">[1]!b_calc_curve_chinabond("1082",AE$1,$B58)</f>
        <v>1.8835999999999999</v>
      </c>
      <c r="AF58" s="7">
        <f ca="1">[1]!b_calc_curve_chinabond("1082",AF$1,$B58)</f>
        <v>0</v>
      </c>
      <c r="AG58" s="7">
        <f ca="1">[1]!b_calc_curve_chinabond("1082",AG$1,$B58)</f>
        <v>0</v>
      </c>
      <c r="AH58" s="7">
        <f ca="1">[1]!b_calc_curve_chinabond("1082",AH$1,$B58)</f>
        <v>0</v>
      </c>
      <c r="AI58" s="7">
        <f ca="1">[1]!b_calc_curve_chinabond("1082",AI$1,$B58)</f>
        <v>0</v>
      </c>
    </row>
    <row r="59" spans="1:35" ht="19.5" customHeight="1">
      <c r="A59" s="3" t="s">
        <v>59</v>
      </c>
      <c r="B59" s="4">
        <v>5.0999999999999996</v>
      </c>
      <c r="C59" s="7">
        <f ca="1">[1]!b_calc_curve_chinabond("1082",C$1,$B59)</f>
        <v>1.9027000000000001</v>
      </c>
      <c r="D59" s="7">
        <f ca="1">[1]!b_calc_curve_chinabond("1082",D$1,$B59)</f>
        <v>1.9</v>
      </c>
      <c r="E59" s="7">
        <f ca="1">[1]!b_calc_curve_chinabond("1082",E$1,$B59)</f>
        <v>0</v>
      </c>
      <c r="F59" s="7">
        <f ca="1">[1]!b_calc_curve_chinabond("1082",F$1,$B59)</f>
        <v>0</v>
      </c>
      <c r="G59" s="7">
        <f ca="1">[1]!b_calc_curve_chinabond("1082",G$1,$B59)</f>
        <v>1.8965000000000001</v>
      </c>
      <c r="H59" s="7">
        <f ca="1">[1]!b_calc_curve_chinabond("1082",H$1,$B59)</f>
        <v>1.8819999999999999</v>
      </c>
      <c r="I59" s="7">
        <f ca="1">[1]!b_calc_curve_chinabond("1082",I$1,$B59)</f>
        <v>1.877</v>
      </c>
      <c r="J59" s="7">
        <f ca="1">[1]!b_calc_curve_chinabond("1082",J$1,$B59)</f>
        <v>1.8683000000000001</v>
      </c>
      <c r="K59" s="7">
        <f ca="1">[1]!b_calc_curve_chinabond("1082",K$1,$B59)</f>
        <v>1.8555999999999999</v>
      </c>
      <c r="L59" s="7">
        <f ca="1">[1]!b_calc_curve_chinabond("1082",L$1,$B59)</f>
        <v>0</v>
      </c>
      <c r="M59" s="7">
        <f ca="1">[1]!b_calc_curve_chinabond("1082",M$1,$B59)</f>
        <v>0</v>
      </c>
      <c r="N59" s="7">
        <f ca="1">[1]!b_calc_curve_chinabond("1082",N$1,$B59)</f>
        <v>1.8552999999999999</v>
      </c>
      <c r="O59" s="7">
        <f ca="1">[1]!b_calc_curve_chinabond("1082",O$1,$B59)</f>
        <v>1.8383</v>
      </c>
      <c r="P59" s="7">
        <f ca="1">[1]!b_calc_curve_chinabond("1082",P$1,$B59)</f>
        <v>1.8310999999999999</v>
      </c>
      <c r="Q59" s="7">
        <f ca="1">[1]!b_calc_curve_chinabond("1082",Q$1,$B59)</f>
        <v>1.8222</v>
      </c>
      <c r="R59" s="7">
        <f ca="1">[1]!b_calc_curve_chinabond("1082",R$1,$B59)</f>
        <v>1.8108</v>
      </c>
      <c r="S59" s="7">
        <f ca="1">[1]!b_calc_curve_chinabond("1082",S$1,$B59)</f>
        <v>0</v>
      </c>
      <c r="T59" s="7">
        <f ca="1">[1]!b_calc_curve_chinabond("1082",T$1,$B59)</f>
        <v>0</v>
      </c>
      <c r="U59" s="7">
        <f ca="1">[1]!b_calc_curve_chinabond("1082",U$1,$B59)</f>
        <v>1.8294999999999999</v>
      </c>
      <c r="V59" s="7">
        <f ca="1">[1]!b_calc_curve_chinabond("1082",V$1,$B59)</f>
        <v>1.8499000000000001</v>
      </c>
      <c r="W59" s="7">
        <f ca="1">[1]!b_calc_curve_chinabond("1082",W$1,$B59)</f>
        <v>1.875</v>
      </c>
      <c r="X59" s="7">
        <f ca="1">[1]!b_calc_curve_chinabond("1082",X$1,$B59)</f>
        <v>1.8983000000000001</v>
      </c>
      <c r="Y59" s="7">
        <f ca="1">[1]!b_calc_curve_chinabond("1082",Y$1,$B59)</f>
        <v>1.9097</v>
      </c>
      <c r="Z59" s="7">
        <f ca="1">[1]!b_calc_curve_chinabond("1082",Z$1,$B59)</f>
        <v>0</v>
      </c>
      <c r="AA59" s="7">
        <f ca="1">[1]!b_calc_curve_chinabond("1082",AA$1,$B59)</f>
        <v>0</v>
      </c>
      <c r="AB59" s="7">
        <f ca="1">[1]!b_calc_curve_chinabond("1082",AB$1,$B59)</f>
        <v>1.9086000000000001</v>
      </c>
      <c r="AC59" s="7">
        <f ca="1">[1]!b_calc_curve_chinabond("1082",AC$1,$B59)</f>
        <v>1.9052</v>
      </c>
      <c r="AD59" s="7">
        <f ca="1">[1]!b_calc_curve_chinabond("1082",AD$1,$B59)</f>
        <v>1.9005000000000001</v>
      </c>
      <c r="AE59" s="7">
        <f ca="1">[1]!b_calc_curve_chinabond("1082",AE$1,$B59)</f>
        <v>1.8939999999999999</v>
      </c>
      <c r="AF59" s="7">
        <f ca="1">[1]!b_calc_curve_chinabond("1082",AF$1,$B59)</f>
        <v>0</v>
      </c>
      <c r="AG59" s="7">
        <f ca="1">[1]!b_calc_curve_chinabond("1082",AG$1,$B59)</f>
        <v>0</v>
      </c>
      <c r="AH59" s="7">
        <f ca="1">[1]!b_calc_curve_chinabond("1082",AH$1,$B59)</f>
        <v>0</v>
      </c>
      <c r="AI59" s="7">
        <f ca="1">[1]!b_calc_curve_chinabond("1082",AI$1,$B59)</f>
        <v>0</v>
      </c>
    </row>
    <row r="60" spans="1:35" ht="19.5" customHeight="1">
      <c r="A60" s="1" t="s">
        <v>60</v>
      </c>
      <c r="B60" s="2">
        <v>5.2</v>
      </c>
      <c r="C60" s="7">
        <f ca="1">[1]!b_calc_curve_chinabond("1082",C$1,$B60)</f>
        <v>1.9125000000000001</v>
      </c>
      <c r="D60" s="7">
        <f ca="1">[1]!b_calc_curve_chinabond("1082",D$1,$B60)</f>
        <v>1.9095</v>
      </c>
      <c r="E60" s="7">
        <f ca="1">[1]!b_calc_curve_chinabond("1082",E$1,$B60)</f>
        <v>0</v>
      </c>
      <c r="F60" s="7">
        <f ca="1">[1]!b_calc_curve_chinabond("1082",F$1,$B60)</f>
        <v>0</v>
      </c>
      <c r="G60" s="7">
        <f ca="1">[1]!b_calc_curve_chinabond("1082",G$1,$B60)</f>
        <v>1.9059999999999999</v>
      </c>
      <c r="H60" s="7">
        <f ca="1">[1]!b_calc_curve_chinabond("1082",H$1,$B60)</f>
        <v>1.8917999999999999</v>
      </c>
      <c r="I60" s="7">
        <f ca="1">[1]!b_calc_curve_chinabond("1082",I$1,$B60)</f>
        <v>1.887</v>
      </c>
      <c r="J60" s="7">
        <f ca="1">[1]!b_calc_curve_chinabond("1082",J$1,$B60)</f>
        <v>1.8788</v>
      </c>
      <c r="K60" s="7">
        <f ca="1">[1]!b_calc_curve_chinabond("1082",K$1,$B60)</f>
        <v>1.8649</v>
      </c>
      <c r="L60" s="7">
        <f ca="1">[1]!b_calc_curve_chinabond("1082",L$1,$B60)</f>
        <v>0</v>
      </c>
      <c r="M60" s="7">
        <f ca="1">[1]!b_calc_curve_chinabond("1082",M$1,$B60)</f>
        <v>0</v>
      </c>
      <c r="N60" s="7">
        <f ca="1">[1]!b_calc_curve_chinabond("1082",N$1,$B60)</f>
        <v>1.8637999999999999</v>
      </c>
      <c r="O60" s="7">
        <f ca="1">[1]!b_calc_curve_chinabond("1082",O$1,$B60)</f>
        <v>1.8468</v>
      </c>
      <c r="P60" s="7">
        <f ca="1">[1]!b_calc_curve_chinabond("1082",P$1,$B60)</f>
        <v>1.8399000000000001</v>
      </c>
      <c r="Q60" s="7">
        <f ca="1">[1]!b_calc_curve_chinabond("1082",Q$1,$B60)</f>
        <v>1.831</v>
      </c>
      <c r="R60" s="7">
        <f ca="1">[1]!b_calc_curve_chinabond("1082",R$1,$B60)</f>
        <v>1.8194999999999999</v>
      </c>
      <c r="S60" s="7">
        <f ca="1">[1]!b_calc_curve_chinabond("1082",S$1,$B60)</f>
        <v>0</v>
      </c>
      <c r="T60" s="7">
        <f ca="1">[1]!b_calc_curve_chinabond("1082",T$1,$B60)</f>
        <v>0</v>
      </c>
      <c r="U60" s="7">
        <f ca="1">[1]!b_calc_curve_chinabond("1082",U$1,$B60)</f>
        <v>1.839</v>
      </c>
      <c r="V60" s="7">
        <f ca="1">[1]!b_calc_curve_chinabond("1082",V$1,$B60)</f>
        <v>1.8591</v>
      </c>
      <c r="W60" s="7">
        <f ca="1">[1]!b_calc_curve_chinabond("1082",W$1,$B60)</f>
        <v>1.885</v>
      </c>
      <c r="X60" s="7">
        <f ca="1">[1]!b_calc_curve_chinabond("1082",X$1,$B60)</f>
        <v>1.9073</v>
      </c>
      <c r="Y60" s="7">
        <f ca="1">[1]!b_calc_curve_chinabond("1082",Y$1,$B60)</f>
        <v>1.9195</v>
      </c>
      <c r="Z60" s="7">
        <f ca="1">[1]!b_calc_curve_chinabond("1082",Z$1,$B60)</f>
        <v>0</v>
      </c>
      <c r="AA60" s="7">
        <f ca="1">[1]!b_calc_curve_chinabond("1082",AA$1,$B60)</f>
        <v>0</v>
      </c>
      <c r="AB60" s="7">
        <f ca="1">[1]!b_calc_curve_chinabond("1082",AB$1,$B60)</f>
        <v>1.9182999999999999</v>
      </c>
      <c r="AC60" s="7">
        <f ca="1">[1]!b_calc_curve_chinabond("1082",AC$1,$B60)</f>
        <v>1.9147000000000001</v>
      </c>
      <c r="AD60" s="7">
        <f ca="1">[1]!b_calc_curve_chinabond("1082",AD$1,$B60)</f>
        <v>1.9104000000000001</v>
      </c>
      <c r="AE60" s="7">
        <f ca="1">[1]!b_calc_curve_chinabond("1082",AE$1,$B60)</f>
        <v>1.9036</v>
      </c>
      <c r="AF60" s="7">
        <f ca="1">[1]!b_calc_curve_chinabond("1082",AF$1,$B60)</f>
        <v>0</v>
      </c>
      <c r="AG60" s="7">
        <f ca="1">[1]!b_calc_curve_chinabond("1082",AG$1,$B60)</f>
        <v>0</v>
      </c>
      <c r="AH60" s="7">
        <f ca="1">[1]!b_calc_curve_chinabond("1082",AH$1,$B60)</f>
        <v>0</v>
      </c>
      <c r="AI60" s="7">
        <f ca="1">[1]!b_calc_curve_chinabond("1082",AI$1,$B60)</f>
        <v>0</v>
      </c>
    </row>
    <row r="61" spans="1:35" ht="19.5" customHeight="1">
      <c r="A61" s="3" t="s">
        <v>61</v>
      </c>
      <c r="B61" s="4">
        <v>5.3</v>
      </c>
      <c r="C61" s="7">
        <f ca="1">[1]!b_calc_curve_chinabond("1082",C$1,$B61)</f>
        <v>1.9234</v>
      </c>
      <c r="D61" s="7">
        <f ca="1">[1]!b_calc_curve_chinabond("1082",D$1,$B61)</f>
        <v>1.9200999999999999</v>
      </c>
      <c r="E61" s="7">
        <f ca="1">[1]!b_calc_curve_chinabond("1082",E$1,$B61)</f>
        <v>0</v>
      </c>
      <c r="F61" s="7">
        <f ca="1">[1]!b_calc_curve_chinabond("1082",F$1,$B61)</f>
        <v>0</v>
      </c>
      <c r="G61" s="7">
        <f ca="1">[1]!b_calc_curve_chinabond("1082",G$1,$B61)</f>
        <v>1.9166000000000001</v>
      </c>
      <c r="H61" s="7">
        <f ca="1">[1]!b_calc_curve_chinabond("1082",H$1,$B61)</f>
        <v>1.9031</v>
      </c>
      <c r="I61" s="7">
        <f ca="1">[1]!b_calc_curve_chinabond("1082",I$1,$B61)</f>
        <v>1.8983000000000001</v>
      </c>
      <c r="J61" s="7">
        <f ca="1">[1]!b_calc_curve_chinabond("1082",J$1,$B61)</f>
        <v>1.8905000000000001</v>
      </c>
      <c r="K61" s="7">
        <f ca="1">[1]!b_calc_curve_chinabond("1082",K$1,$B61)</f>
        <v>1.8753</v>
      </c>
      <c r="L61" s="7">
        <f ca="1">[1]!b_calc_curve_chinabond("1082",L$1,$B61)</f>
        <v>0</v>
      </c>
      <c r="M61" s="7">
        <f ca="1">[1]!b_calc_curve_chinabond("1082",M$1,$B61)</f>
        <v>0</v>
      </c>
      <c r="N61" s="7">
        <f ca="1">[1]!b_calc_curve_chinabond("1082",N$1,$B61)</f>
        <v>1.8728</v>
      </c>
      <c r="O61" s="7">
        <f ca="1">[1]!b_calc_curve_chinabond("1082",O$1,$B61)</f>
        <v>1.8561000000000001</v>
      </c>
      <c r="P61" s="7">
        <f ca="1">[1]!b_calc_curve_chinabond("1082",P$1,$B61)</f>
        <v>1.8495999999999999</v>
      </c>
      <c r="Q61" s="7">
        <f ca="1">[1]!b_calc_curve_chinabond("1082",Q$1,$B61)</f>
        <v>1.8407</v>
      </c>
      <c r="R61" s="7">
        <f ca="1">[1]!b_calc_curve_chinabond("1082",R$1,$B61)</f>
        <v>1.8294999999999999</v>
      </c>
      <c r="S61" s="7">
        <f ca="1">[1]!b_calc_curve_chinabond("1082",S$1,$B61)</f>
        <v>0</v>
      </c>
      <c r="T61" s="7">
        <f ca="1">[1]!b_calc_curve_chinabond("1082",T$1,$B61)</f>
        <v>0</v>
      </c>
      <c r="U61" s="7">
        <f ca="1">[1]!b_calc_curve_chinabond("1082",U$1,$B61)</f>
        <v>1.8493999999999999</v>
      </c>
      <c r="V61" s="7">
        <f ca="1">[1]!b_calc_curve_chinabond("1082",V$1,$B61)</f>
        <v>1.8684000000000001</v>
      </c>
      <c r="W61" s="7">
        <f ca="1">[1]!b_calc_curve_chinabond("1082",W$1,$B61)</f>
        <v>1.8940999999999999</v>
      </c>
      <c r="X61" s="7">
        <f ca="1">[1]!b_calc_curve_chinabond("1082",X$1,$B61)</f>
        <v>1.915</v>
      </c>
      <c r="Y61" s="7">
        <f ca="1">[1]!b_calc_curve_chinabond("1082",Y$1,$B61)</f>
        <v>1.9282999999999999</v>
      </c>
      <c r="Z61" s="7">
        <f ca="1">[1]!b_calc_curve_chinabond("1082",Z$1,$B61)</f>
        <v>0</v>
      </c>
      <c r="AA61" s="7">
        <f ca="1">[1]!b_calc_curve_chinabond("1082",AA$1,$B61)</f>
        <v>0</v>
      </c>
      <c r="AB61" s="7">
        <f ca="1">[1]!b_calc_curve_chinabond("1082",AB$1,$B61)</f>
        <v>1.9272</v>
      </c>
      <c r="AC61" s="7">
        <f ca="1">[1]!b_calc_curve_chinabond("1082",AC$1,$B61)</f>
        <v>1.9235</v>
      </c>
      <c r="AD61" s="7">
        <f ca="1">[1]!b_calc_curve_chinabond("1082",AD$1,$B61)</f>
        <v>1.9195</v>
      </c>
      <c r="AE61" s="7">
        <f ca="1">[1]!b_calc_curve_chinabond("1082",AE$1,$B61)</f>
        <v>1.9125000000000001</v>
      </c>
      <c r="AF61" s="7">
        <f ca="1">[1]!b_calc_curve_chinabond("1082",AF$1,$B61)</f>
        <v>0</v>
      </c>
      <c r="AG61" s="7">
        <f ca="1">[1]!b_calc_curve_chinabond("1082",AG$1,$B61)</f>
        <v>0</v>
      </c>
      <c r="AH61" s="7">
        <f ca="1">[1]!b_calc_curve_chinabond("1082",AH$1,$B61)</f>
        <v>0</v>
      </c>
      <c r="AI61" s="7">
        <f ca="1">[1]!b_calc_curve_chinabond("1082",AI$1,$B61)</f>
        <v>0</v>
      </c>
    </row>
    <row r="62" spans="1:35" ht="19.5" customHeight="1">
      <c r="A62" s="1" t="s">
        <v>62</v>
      </c>
      <c r="B62" s="2">
        <v>5.4</v>
      </c>
      <c r="C62" s="7">
        <f ca="1">[1]!b_calc_curve_chinabond("1082",C$1,$B62)</f>
        <v>1.9351</v>
      </c>
      <c r="D62" s="7">
        <f ca="1">[1]!b_calc_curve_chinabond("1082",D$1,$B62)</f>
        <v>1.9316</v>
      </c>
      <c r="E62" s="7">
        <f ca="1">[1]!b_calc_curve_chinabond("1082",E$1,$B62)</f>
        <v>0</v>
      </c>
      <c r="F62" s="7">
        <f ca="1">[1]!b_calc_curve_chinabond("1082",F$1,$B62)</f>
        <v>0</v>
      </c>
      <c r="G62" s="7">
        <f ca="1">[1]!b_calc_curve_chinabond("1082",G$1,$B62)</f>
        <v>1.9279999999999999</v>
      </c>
      <c r="H62" s="7">
        <f ca="1">[1]!b_calc_curve_chinabond("1082",H$1,$B62)</f>
        <v>1.9155</v>
      </c>
      <c r="I62" s="7">
        <f ca="1">[1]!b_calc_curve_chinabond("1082",I$1,$B62)</f>
        <v>1.9107000000000001</v>
      </c>
      <c r="J62" s="7">
        <f ca="1">[1]!b_calc_curve_chinabond("1082",J$1,$B62)</f>
        <v>1.9033</v>
      </c>
      <c r="K62" s="7">
        <f ca="1">[1]!b_calc_curve_chinabond("1082",K$1,$B62)</f>
        <v>1.8866000000000001</v>
      </c>
      <c r="L62" s="7">
        <f ca="1">[1]!b_calc_curve_chinabond("1082",L$1,$B62)</f>
        <v>0</v>
      </c>
      <c r="M62" s="7">
        <f ca="1">[1]!b_calc_curve_chinabond("1082",M$1,$B62)</f>
        <v>0</v>
      </c>
      <c r="N62" s="7">
        <f ca="1">[1]!b_calc_curve_chinabond("1082",N$1,$B62)</f>
        <v>1.8821000000000001</v>
      </c>
      <c r="O62" s="7">
        <f ca="1">[1]!b_calc_curve_chinabond("1082",O$1,$B62)</f>
        <v>1.8660000000000001</v>
      </c>
      <c r="P62" s="7">
        <f ca="1">[1]!b_calc_curve_chinabond("1082",P$1,$B62)</f>
        <v>1.8602000000000001</v>
      </c>
      <c r="Q62" s="7">
        <f ca="1">[1]!b_calc_curve_chinabond("1082",Q$1,$B62)</f>
        <v>1.8512</v>
      </c>
      <c r="R62" s="7">
        <f ca="1">[1]!b_calc_curve_chinabond("1082",R$1,$B62)</f>
        <v>1.8405</v>
      </c>
      <c r="S62" s="7">
        <f ca="1">[1]!b_calc_curve_chinabond("1082",S$1,$B62)</f>
        <v>0</v>
      </c>
      <c r="T62" s="7">
        <f ca="1">[1]!b_calc_curve_chinabond("1082",T$1,$B62)</f>
        <v>0</v>
      </c>
      <c r="U62" s="7">
        <f ca="1">[1]!b_calc_curve_chinabond("1082",U$1,$B62)</f>
        <v>1.8604000000000001</v>
      </c>
      <c r="V62" s="7">
        <f ca="1">[1]!b_calc_curve_chinabond("1082",V$1,$B62)</f>
        <v>1.8775999999999999</v>
      </c>
      <c r="W62" s="7">
        <f ca="1">[1]!b_calc_curve_chinabond("1082",W$1,$B62)</f>
        <v>1.9026000000000001</v>
      </c>
      <c r="X62" s="7">
        <f ca="1">[1]!b_calc_curve_chinabond("1082",X$1,$B62)</f>
        <v>1.9217</v>
      </c>
      <c r="Y62" s="7">
        <f ca="1">[1]!b_calc_curve_chinabond("1082",Y$1,$B62)</f>
        <v>1.9363999999999999</v>
      </c>
      <c r="Z62" s="7">
        <f ca="1">[1]!b_calc_curve_chinabond("1082",Z$1,$B62)</f>
        <v>0</v>
      </c>
      <c r="AA62" s="7">
        <f ca="1">[1]!b_calc_curve_chinabond("1082",AA$1,$B62)</f>
        <v>0</v>
      </c>
      <c r="AB62" s="7">
        <f ca="1">[1]!b_calc_curve_chinabond("1082",AB$1,$B62)</f>
        <v>1.9354</v>
      </c>
      <c r="AC62" s="7">
        <f ca="1">[1]!b_calc_curve_chinabond("1082",AC$1,$B62)</f>
        <v>1.9317</v>
      </c>
      <c r="AD62" s="7">
        <f ca="1">[1]!b_calc_curve_chinabond("1082",AD$1,$B62)</f>
        <v>1.9278999999999999</v>
      </c>
      <c r="AE62" s="7">
        <f ca="1">[1]!b_calc_curve_chinabond("1082",AE$1,$B62)</f>
        <v>1.9208000000000001</v>
      </c>
      <c r="AF62" s="7">
        <f ca="1">[1]!b_calc_curve_chinabond("1082",AF$1,$B62)</f>
        <v>0</v>
      </c>
      <c r="AG62" s="7">
        <f ca="1">[1]!b_calc_curve_chinabond("1082",AG$1,$B62)</f>
        <v>0</v>
      </c>
      <c r="AH62" s="7">
        <f ca="1">[1]!b_calc_curve_chinabond("1082",AH$1,$B62)</f>
        <v>0</v>
      </c>
      <c r="AI62" s="7">
        <f ca="1">[1]!b_calc_curve_chinabond("1082",AI$1,$B62)</f>
        <v>0</v>
      </c>
    </row>
    <row r="63" spans="1:35" ht="19.5" customHeight="1">
      <c r="A63" s="3" t="s">
        <v>63</v>
      </c>
      <c r="B63" s="4">
        <v>5.5</v>
      </c>
      <c r="C63" s="7">
        <f ca="1">[1]!b_calc_curve_chinabond("1082",C$1,$B63)</f>
        <v>1.9476</v>
      </c>
      <c r="D63" s="7">
        <f ca="1">[1]!b_calc_curve_chinabond("1082",D$1,$B63)</f>
        <v>1.9437</v>
      </c>
      <c r="E63" s="7">
        <f ca="1">[1]!b_calc_curve_chinabond("1082",E$1,$B63)</f>
        <v>0</v>
      </c>
      <c r="F63" s="7">
        <f ca="1">[1]!b_calc_curve_chinabond("1082",F$1,$B63)</f>
        <v>0</v>
      </c>
      <c r="G63" s="7">
        <f ca="1">[1]!b_calc_curve_chinabond("1082",G$1,$B63)</f>
        <v>1.94</v>
      </c>
      <c r="H63" s="7">
        <f ca="1">[1]!b_calc_curve_chinabond("1082",H$1,$B63)</f>
        <v>1.9288000000000001</v>
      </c>
      <c r="I63" s="7">
        <f ca="1">[1]!b_calc_curve_chinabond("1082",I$1,$B63)</f>
        <v>1.9238</v>
      </c>
      <c r="J63" s="7">
        <f ca="1">[1]!b_calc_curve_chinabond("1082",J$1,$B63)</f>
        <v>1.9168000000000001</v>
      </c>
      <c r="K63" s="7">
        <f ca="1">[1]!b_calc_curve_chinabond("1082",K$1,$B63)</f>
        <v>1.8985000000000001</v>
      </c>
      <c r="L63" s="7">
        <f ca="1">[1]!b_calc_curve_chinabond("1082",L$1,$B63)</f>
        <v>0</v>
      </c>
      <c r="M63" s="7">
        <f ca="1">[1]!b_calc_curve_chinabond("1082",M$1,$B63)</f>
        <v>0</v>
      </c>
      <c r="N63" s="7">
        <f ca="1">[1]!b_calc_curve_chinabond("1082",N$1,$B63)</f>
        <v>1.8915999999999999</v>
      </c>
      <c r="O63" s="7">
        <f ca="1">[1]!b_calc_curve_chinabond("1082",O$1,$B63)</f>
        <v>1.8763000000000001</v>
      </c>
      <c r="P63" s="7">
        <f ca="1">[1]!b_calc_curve_chinabond("1082",P$1,$B63)</f>
        <v>1.8713</v>
      </c>
      <c r="Q63" s="7">
        <f ca="1">[1]!b_calc_curve_chinabond("1082",Q$1,$B63)</f>
        <v>1.8622000000000001</v>
      </c>
      <c r="R63" s="7">
        <f ca="1">[1]!b_calc_curve_chinabond("1082",R$1,$B63)</f>
        <v>1.8521000000000001</v>
      </c>
      <c r="S63" s="7">
        <f ca="1">[1]!b_calc_curve_chinabond("1082",S$1,$B63)</f>
        <v>0</v>
      </c>
      <c r="T63" s="7">
        <f ca="1">[1]!b_calc_curve_chinabond("1082",T$1,$B63)</f>
        <v>0</v>
      </c>
      <c r="U63" s="7">
        <f ca="1">[1]!b_calc_curve_chinabond("1082",U$1,$B63)</f>
        <v>1.8718999999999999</v>
      </c>
      <c r="V63" s="7">
        <f ca="1">[1]!b_calc_curve_chinabond("1082",V$1,$B63)</f>
        <v>1.8868</v>
      </c>
      <c r="W63" s="7">
        <f ca="1">[1]!b_calc_curve_chinabond("1082",W$1,$B63)</f>
        <v>1.9105000000000001</v>
      </c>
      <c r="X63" s="7">
        <f ca="1">[1]!b_calc_curve_chinabond("1082",X$1,$B63)</f>
        <v>1.9277</v>
      </c>
      <c r="Y63" s="7">
        <f ca="1">[1]!b_calc_curve_chinabond("1082",Y$1,$B63)</f>
        <v>1.9439</v>
      </c>
      <c r="Z63" s="7">
        <f ca="1">[1]!b_calc_curve_chinabond("1082",Z$1,$B63)</f>
        <v>0</v>
      </c>
      <c r="AA63" s="7">
        <f ca="1">[1]!b_calc_curve_chinabond("1082",AA$1,$B63)</f>
        <v>0</v>
      </c>
      <c r="AB63" s="7">
        <f ca="1">[1]!b_calc_curve_chinabond("1082",AB$1,$B63)</f>
        <v>1.9433</v>
      </c>
      <c r="AC63" s="7">
        <f ca="1">[1]!b_calc_curve_chinabond("1082",AC$1,$B63)</f>
        <v>1.9395</v>
      </c>
      <c r="AD63" s="7">
        <f ca="1">[1]!b_calc_curve_chinabond("1082",AD$1,$B63)</f>
        <v>1.9359</v>
      </c>
      <c r="AE63" s="7">
        <f ca="1">[1]!b_calc_curve_chinabond("1082",AE$1,$B63)</f>
        <v>1.9287000000000001</v>
      </c>
      <c r="AF63" s="7">
        <f ca="1">[1]!b_calc_curve_chinabond("1082",AF$1,$B63)</f>
        <v>0</v>
      </c>
      <c r="AG63" s="7">
        <f ca="1">[1]!b_calc_curve_chinabond("1082",AG$1,$B63)</f>
        <v>0</v>
      </c>
      <c r="AH63" s="7">
        <f ca="1">[1]!b_calc_curve_chinabond("1082",AH$1,$B63)</f>
        <v>0</v>
      </c>
      <c r="AI63" s="7">
        <f ca="1">[1]!b_calc_curve_chinabond("1082",AI$1,$B63)</f>
        <v>0</v>
      </c>
    </row>
    <row r="64" spans="1:35" ht="19.5" customHeight="1">
      <c r="A64" s="1" t="s">
        <v>64</v>
      </c>
      <c r="B64" s="2">
        <v>5.6</v>
      </c>
      <c r="C64" s="7">
        <f ca="1">[1]!b_calc_curve_chinabond("1082",C$1,$B64)</f>
        <v>1.9603999999999999</v>
      </c>
      <c r="D64" s="7">
        <f ca="1">[1]!b_calc_curve_chinabond("1082",D$1,$B64)</f>
        <v>1.9560999999999999</v>
      </c>
      <c r="E64" s="7">
        <f ca="1">[1]!b_calc_curve_chinabond("1082",E$1,$B64)</f>
        <v>0</v>
      </c>
      <c r="F64" s="7">
        <f ca="1">[1]!b_calc_curve_chinabond("1082",F$1,$B64)</f>
        <v>0</v>
      </c>
      <c r="G64" s="7">
        <f ca="1">[1]!b_calc_curve_chinabond("1082",G$1,$B64)</f>
        <v>1.9522999999999999</v>
      </c>
      <c r="H64" s="7">
        <f ca="1">[1]!b_calc_curve_chinabond("1082",H$1,$B64)</f>
        <v>1.9427000000000001</v>
      </c>
      <c r="I64" s="7">
        <f ca="1">[1]!b_calc_curve_chinabond("1082",I$1,$B64)</f>
        <v>1.9375</v>
      </c>
      <c r="J64" s="7">
        <f ca="1">[1]!b_calc_curve_chinabond("1082",J$1,$B64)</f>
        <v>1.9308000000000001</v>
      </c>
      <c r="K64" s="7">
        <f ca="1">[1]!b_calc_curve_chinabond("1082",K$1,$B64)</f>
        <v>1.9108000000000001</v>
      </c>
      <c r="L64" s="7">
        <f ca="1">[1]!b_calc_curve_chinabond("1082",L$1,$B64)</f>
        <v>0</v>
      </c>
      <c r="M64" s="7">
        <f ca="1">[1]!b_calc_curve_chinabond("1082",M$1,$B64)</f>
        <v>0</v>
      </c>
      <c r="N64" s="7">
        <f ca="1">[1]!b_calc_curve_chinabond("1082",N$1,$B64)</f>
        <v>1.9012</v>
      </c>
      <c r="O64" s="7">
        <f ca="1">[1]!b_calc_curve_chinabond("1082",O$1,$B64)</f>
        <v>1.8868</v>
      </c>
      <c r="P64" s="7">
        <f ca="1">[1]!b_calc_curve_chinabond("1082",P$1,$B64)</f>
        <v>1.8829</v>
      </c>
      <c r="Q64" s="7">
        <f ca="1">[1]!b_calc_curve_chinabond("1082",Q$1,$B64)</f>
        <v>1.8735999999999999</v>
      </c>
      <c r="R64" s="7">
        <f ca="1">[1]!b_calc_curve_chinabond("1082",R$1,$B64)</f>
        <v>1.8643000000000001</v>
      </c>
      <c r="S64" s="7">
        <f ca="1">[1]!b_calc_curve_chinabond("1082",S$1,$B64)</f>
        <v>0</v>
      </c>
      <c r="T64" s="7">
        <f ca="1">[1]!b_calc_curve_chinabond("1082",T$1,$B64)</f>
        <v>0</v>
      </c>
      <c r="U64" s="7">
        <f ca="1">[1]!b_calc_curve_chinabond("1082",U$1,$B64)</f>
        <v>1.8835999999999999</v>
      </c>
      <c r="V64" s="7">
        <f ca="1">[1]!b_calc_curve_chinabond("1082",V$1,$B64)</f>
        <v>1.8959999999999999</v>
      </c>
      <c r="W64" s="7">
        <f ca="1">[1]!b_calc_curve_chinabond("1082",W$1,$B64)</f>
        <v>1.9181999999999999</v>
      </c>
      <c r="X64" s="7">
        <f ca="1">[1]!b_calc_curve_chinabond("1082",X$1,$B64)</f>
        <v>1.9331</v>
      </c>
      <c r="Y64" s="7">
        <f ca="1">[1]!b_calc_curve_chinabond("1082",Y$1,$B64)</f>
        <v>1.9511000000000001</v>
      </c>
      <c r="Z64" s="7">
        <f ca="1">[1]!b_calc_curve_chinabond("1082",Z$1,$B64)</f>
        <v>0</v>
      </c>
      <c r="AA64" s="7">
        <f ca="1">[1]!b_calc_curve_chinabond("1082",AA$1,$B64)</f>
        <v>0</v>
      </c>
      <c r="AB64" s="7">
        <f ca="1">[1]!b_calc_curve_chinabond("1082",AB$1,$B64)</f>
        <v>1.9508000000000001</v>
      </c>
      <c r="AC64" s="7">
        <f ca="1">[1]!b_calc_curve_chinabond("1082",AC$1,$B64)</f>
        <v>1.9470000000000001</v>
      </c>
      <c r="AD64" s="7">
        <f ca="1">[1]!b_calc_curve_chinabond("1082",AD$1,$B64)</f>
        <v>1.9436</v>
      </c>
      <c r="AE64" s="7">
        <f ca="1">[1]!b_calc_curve_chinabond("1082",AE$1,$B64)</f>
        <v>1.9363999999999999</v>
      </c>
      <c r="AF64" s="7">
        <f ca="1">[1]!b_calc_curve_chinabond("1082",AF$1,$B64)</f>
        <v>0</v>
      </c>
      <c r="AG64" s="7">
        <f ca="1">[1]!b_calc_curve_chinabond("1082",AG$1,$B64)</f>
        <v>0</v>
      </c>
      <c r="AH64" s="7">
        <f ca="1">[1]!b_calc_curve_chinabond("1082",AH$1,$B64)</f>
        <v>0</v>
      </c>
      <c r="AI64" s="7">
        <f ca="1">[1]!b_calc_curve_chinabond("1082",AI$1,$B64)</f>
        <v>0</v>
      </c>
    </row>
    <row r="65" spans="1:35" ht="19.5" customHeight="1">
      <c r="A65" s="3" t="s">
        <v>65</v>
      </c>
      <c r="B65" s="4">
        <v>5.7</v>
      </c>
      <c r="C65" s="7">
        <f ca="1">[1]!b_calc_curve_chinabond("1082",C$1,$B65)</f>
        <v>1.9734</v>
      </c>
      <c r="D65" s="7">
        <f ca="1">[1]!b_calc_curve_chinabond("1082",D$1,$B65)</f>
        <v>1.9686999999999999</v>
      </c>
      <c r="E65" s="7">
        <f ca="1">[1]!b_calc_curve_chinabond("1082",E$1,$B65)</f>
        <v>0</v>
      </c>
      <c r="F65" s="7">
        <f ca="1">[1]!b_calc_curve_chinabond("1082",F$1,$B65)</f>
        <v>0</v>
      </c>
      <c r="G65" s="7">
        <f ca="1">[1]!b_calc_curve_chinabond("1082",G$1,$B65)</f>
        <v>1.9648000000000001</v>
      </c>
      <c r="H65" s="7">
        <f ca="1">[1]!b_calc_curve_chinabond("1082",H$1,$B65)</f>
        <v>1.9567000000000001</v>
      </c>
      <c r="I65" s="7">
        <f ca="1">[1]!b_calc_curve_chinabond("1082",I$1,$B65)</f>
        <v>1.9513</v>
      </c>
      <c r="J65" s="7">
        <f ca="1">[1]!b_calc_curve_chinabond("1082",J$1,$B65)</f>
        <v>1.9449000000000001</v>
      </c>
      <c r="K65" s="7">
        <f ca="1">[1]!b_calc_curve_chinabond("1082",K$1,$B65)</f>
        <v>1.9232</v>
      </c>
      <c r="L65" s="7">
        <f ca="1">[1]!b_calc_curve_chinabond("1082",L$1,$B65)</f>
        <v>0</v>
      </c>
      <c r="M65" s="7">
        <f ca="1">[1]!b_calc_curve_chinabond("1082",M$1,$B65)</f>
        <v>0</v>
      </c>
      <c r="N65" s="7">
        <f ca="1">[1]!b_calc_curve_chinabond("1082",N$1,$B65)</f>
        <v>1.9109</v>
      </c>
      <c r="O65" s="7">
        <f ca="1">[1]!b_calc_curve_chinabond("1082",O$1,$B65)</f>
        <v>1.8975</v>
      </c>
      <c r="P65" s="7">
        <f ca="1">[1]!b_calc_curve_chinabond("1082",P$1,$B65)</f>
        <v>1.8945000000000001</v>
      </c>
      <c r="Q65" s="7">
        <f ca="1">[1]!b_calc_curve_chinabond("1082",Q$1,$B65)</f>
        <v>1.8851</v>
      </c>
      <c r="R65" s="7">
        <f ca="1">[1]!b_calc_curve_chinabond("1082",R$1,$B65)</f>
        <v>1.8766</v>
      </c>
      <c r="S65" s="7">
        <f ca="1">[1]!b_calc_curve_chinabond("1082",S$1,$B65)</f>
        <v>0</v>
      </c>
      <c r="T65" s="7">
        <f ca="1">[1]!b_calc_curve_chinabond("1082",T$1,$B65)</f>
        <v>0</v>
      </c>
      <c r="U65" s="7">
        <f ca="1">[1]!b_calc_curve_chinabond("1082",U$1,$B65)</f>
        <v>1.8955</v>
      </c>
      <c r="V65" s="7">
        <f ca="1">[1]!b_calc_curve_chinabond("1082",V$1,$B65)</f>
        <v>1.9053</v>
      </c>
      <c r="W65" s="7">
        <f ca="1">[1]!b_calc_curve_chinabond("1082",W$1,$B65)</f>
        <v>1.9258</v>
      </c>
      <c r="X65" s="7">
        <f ca="1">[1]!b_calc_curve_chinabond("1082",X$1,$B65)</f>
        <v>1.9383999999999999</v>
      </c>
      <c r="Y65" s="7">
        <f ca="1">[1]!b_calc_curve_chinabond("1082",Y$1,$B65)</f>
        <v>1.9581</v>
      </c>
      <c r="Z65" s="7">
        <f ca="1">[1]!b_calc_curve_chinabond("1082",Z$1,$B65)</f>
        <v>0</v>
      </c>
      <c r="AA65" s="7">
        <f ca="1">[1]!b_calc_curve_chinabond("1082",AA$1,$B65)</f>
        <v>0</v>
      </c>
      <c r="AB65" s="7">
        <f ca="1">[1]!b_calc_curve_chinabond("1082",AB$1,$B65)</f>
        <v>1.9581999999999999</v>
      </c>
      <c r="AC65" s="7">
        <f ca="1">[1]!b_calc_curve_chinabond("1082",AC$1,$B65)</f>
        <v>1.9543999999999999</v>
      </c>
      <c r="AD65" s="7">
        <f ca="1">[1]!b_calc_curve_chinabond("1082",AD$1,$B65)</f>
        <v>1.9512</v>
      </c>
      <c r="AE65" s="7">
        <f ca="1">[1]!b_calc_curve_chinabond("1082",AE$1,$B65)</f>
        <v>1.944</v>
      </c>
      <c r="AF65" s="7">
        <f ca="1">[1]!b_calc_curve_chinabond("1082",AF$1,$B65)</f>
        <v>0</v>
      </c>
      <c r="AG65" s="7">
        <f ca="1">[1]!b_calc_curve_chinabond("1082",AG$1,$B65)</f>
        <v>0</v>
      </c>
      <c r="AH65" s="7">
        <f ca="1">[1]!b_calc_curve_chinabond("1082",AH$1,$B65)</f>
        <v>0</v>
      </c>
      <c r="AI65" s="7">
        <f ca="1">[1]!b_calc_curve_chinabond("1082",AI$1,$B65)</f>
        <v>0</v>
      </c>
    </row>
    <row r="66" spans="1:35" ht="19.5" customHeight="1">
      <c r="A66" s="1" t="s">
        <v>66</v>
      </c>
      <c r="B66" s="2">
        <v>5.8</v>
      </c>
      <c r="C66" s="7">
        <f ca="1">[1]!b_calc_curve_chinabond("1082",C$1,$B66)</f>
        <v>1.9863</v>
      </c>
      <c r="D66" s="7">
        <f ca="1">[1]!b_calc_curve_chinabond("1082",D$1,$B66)</f>
        <v>1.9812000000000001</v>
      </c>
      <c r="E66" s="7">
        <f ca="1">[1]!b_calc_curve_chinabond("1082",E$1,$B66)</f>
        <v>0</v>
      </c>
      <c r="F66" s="7">
        <f ca="1">[1]!b_calc_curve_chinabond("1082",F$1,$B66)</f>
        <v>0</v>
      </c>
      <c r="G66" s="7">
        <f ca="1">[1]!b_calc_curve_chinabond("1082",G$1,$B66)</f>
        <v>1.9772000000000001</v>
      </c>
      <c r="H66" s="7">
        <f ca="1">[1]!b_calc_curve_chinabond("1082",H$1,$B66)</f>
        <v>1.9705999999999999</v>
      </c>
      <c r="I66" s="7">
        <f ca="1">[1]!b_calc_curve_chinabond("1082",I$1,$B66)</f>
        <v>1.9650000000000001</v>
      </c>
      <c r="J66" s="7">
        <f ca="1">[1]!b_calc_curve_chinabond("1082",J$1,$B66)</f>
        <v>1.9590000000000001</v>
      </c>
      <c r="K66" s="7">
        <f ca="1">[1]!b_calc_curve_chinabond("1082",K$1,$B66)</f>
        <v>1.9356</v>
      </c>
      <c r="L66" s="7">
        <f ca="1">[1]!b_calc_curve_chinabond("1082",L$1,$B66)</f>
        <v>0</v>
      </c>
      <c r="M66" s="7">
        <f ca="1">[1]!b_calc_curve_chinabond("1082",M$1,$B66)</f>
        <v>0</v>
      </c>
      <c r="N66" s="7">
        <f ca="1">[1]!b_calc_curve_chinabond("1082",N$1,$B66)</f>
        <v>1.9206000000000001</v>
      </c>
      <c r="O66" s="7">
        <f ca="1">[1]!b_calc_curve_chinabond("1082",O$1,$B66)</f>
        <v>1.9080999999999999</v>
      </c>
      <c r="P66" s="7">
        <f ca="1">[1]!b_calc_curve_chinabond("1082",P$1,$B66)</f>
        <v>1.9060999999999999</v>
      </c>
      <c r="Q66" s="7">
        <f ca="1">[1]!b_calc_curve_chinabond("1082",Q$1,$B66)</f>
        <v>1.8965000000000001</v>
      </c>
      <c r="R66" s="7">
        <f ca="1">[1]!b_calc_curve_chinabond("1082",R$1,$B66)</f>
        <v>1.8888</v>
      </c>
      <c r="S66" s="7">
        <f ca="1">[1]!b_calc_curve_chinabond("1082",S$1,$B66)</f>
        <v>0</v>
      </c>
      <c r="T66" s="7">
        <f ca="1">[1]!b_calc_curve_chinabond("1082",T$1,$B66)</f>
        <v>0</v>
      </c>
      <c r="U66" s="7">
        <f ca="1">[1]!b_calc_curve_chinabond("1082",U$1,$B66)</f>
        <v>1.9073</v>
      </c>
      <c r="V66" s="7">
        <f ca="1">[1]!b_calc_curve_chinabond("1082",V$1,$B66)</f>
        <v>1.9145000000000001</v>
      </c>
      <c r="W66" s="7">
        <f ca="1">[1]!b_calc_curve_chinabond("1082",W$1,$B66)</f>
        <v>1.9334</v>
      </c>
      <c r="X66" s="7">
        <f ca="1">[1]!b_calc_curve_chinabond("1082",X$1,$B66)</f>
        <v>1.9438</v>
      </c>
      <c r="Y66" s="7">
        <f ca="1">[1]!b_calc_curve_chinabond("1082",Y$1,$B66)</f>
        <v>1.9653</v>
      </c>
      <c r="Z66" s="7">
        <f ca="1">[1]!b_calc_curve_chinabond("1082",Z$1,$B66)</f>
        <v>0</v>
      </c>
      <c r="AA66" s="7">
        <f ca="1">[1]!b_calc_curve_chinabond("1082",AA$1,$B66)</f>
        <v>0</v>
      </c>
      <c r="AB66" s="7">
        <f ca="1">[1]!b_calc_curve_chinabond("1082",AB$1,$B66)</f>
        <v>1.9657</v>
      </c>
      <c r="AC66" s="7">
        <f ca="1">[1]!b_calc_curve_chinabond("1082",AC$1,$B66)</f>
        <v>1.9619</v>
      </c>
      <c r="AD66" s="7">
        <f ca="1">[1]!b_calc_curve_chinabond("1082",AD$1,$B66)</f>
        <v>1.9588000000000001</v>
      </c>
      <c r="AE66" s="7">
        <f ca="1">[1]!b_calc_curve_chinabond("1082",AE$1,$B66)</f>
        <v>1.9516</v>
      </c>
      <c r="AF66" s="7">
        <f ca="1">[1]!b_calc_curve_chinabond("1082",AF$1,$B66)</f>
        <v>0</v>
      </c>
      <c r="AG66" s="7">
        <f ca="1">[1]!b_calc_curve_chinabond("1082",AG$1,$B66)</f>
        <v>0</v>
      </c>
      <c r="AH66" s="7">
        <f ca="1">[1]!b_calc_curve_chinabond("1082",AH$1,$B66)</f>
        <v>0</v>
      </c>
      <c r="AI66" s="7">
        <f ca="1">[1]!b_calc_curve_chinabond("1082",AI$1,$B66)</f>
        <v>0</v>
      </c>
    </row>
    <row r="67" spans="1:35" ht="19.5" customHeight="1">
      <c r="A67" s="3" t="s">
        <v>67</v>
      </c>
      <c r="B67" s="4">
        <v>5.9</v>
      </c>
      <c r="C67" s="7">
        <f ca="1">[1]!b_calc_curve_chinabond("1082",C$1,$B67)</f>
        <v>1.9987999999999999</v>
      </c>
      <c r="D67" s="7">
        <f ca="1">[1]!b_calc_curve_chinabond("1082",D$1,$B67)</f>
        <v>1.9934000000000001</v>
      </c>
      <c r="E67" s="7">
        <f ca="1">[1]!b_calc_curve_chinabond("1082",E$1,$B67)</f>
        <v>0</v>
      </c>
      <c r="F67" s="7">
        <f ca="1">[1]!b_calc_curve_chinabond("1082",F$1,$B67)</f>
        <v>0</v>
      </c>
      <c r="G67" s="7">
        <f ca="1">[1]!b_calc_curve_chinabond("1082",G$1,$B67)</f>
        <v>1.9894000000000001</v>
      </c>
      <c r="H67" s="7">
        <f ca="1">[1]!b_calc_curve_chinabond("1082",H$1,$B67)</f>
        <v>1.9842</v>
      </c>
      <c r="I67" s="7">
        <f ca="1">[1]!b_calc_curve_chinabond("1082",I$1,$B67)</f>
        <v>1.9782999999999999</v>
      </c>
      <c r="J67" s="7">
        <f ca="1">[1]!b_calc_curve_chinabond("1082",J$1,$B67)</f>
        <v>1.9726999999999999</v>
      </c>
      <c r="K67" s="7">
        <f ca="1">[1]!b_calc_curve_chinabond("1082",K$1,$B67)</f>
        <v>1.9476</v>
      </c>
      <c r="L67" s="7">
        <f ca="1">[1]!b_calc_curve_chinabond("1082",L$1,$B67)</f>
        <v>0</v>
      </c>
      <c r="M67" s="7">
        <f ca="1">[1]!b_calc_curve_chinabond("1082",M$1,$B67)</f>
        <v>0</v>
      </c>
      <c r="N67" s="7">
        <f ca="1">[1]!b_calc_curve_chinabond("1082",N$1,$B67)</f>
        <v>1.9300999999999999</v>
      </c>
      <c r="O67" s="7">
        <f ca="1">[1]!b_calc_curve_chinabond("1082",O$1,$B67)</f>
        <v>1.9185000000000001</v>
      </c>
      <c r="P67" s="7">
        <f ca="1">[1]!b_calc_curve_chinabond("1082",P$1,$B67)</f>
        <v>1.9174</v>
      </c>
      <c r="Q67" s="7">
        <f ca="1">[1]!b_calc_curve_chinabond("1082",Q$1,$B67)</f>
        <v>1.9076</v>
      </c>
      <c r="R67" s="7">
        <f ca="1">[1]!b_calc_curve_chinabond("1082",R$1,$B67)</f>
        <v>1.9007000000000001</v>
      </c>
      <c r="S67" s="7">
        <f ca="1">[1]!b_calc_curve_chinabond("1082",S$1,$B67)</f>
        <v>0</v>
      </c>
      <c r="T67" s="7">
        <f ca="1">[1]!b_calc_curve_chinabond("1082",T$1,$B67)</f>
        <v>0</v>
      </c>
      <c r="U67" s="7">
        <f ca="1">[1]!b_calc_curve_chinabond("1082",U$1,$B67)</f>
        <v>1.9189000000000001</v>
      </c>
      <c r="V67" s="7">
        <f ca="1">[1]!b_calc_curve_chinabond("1082",V$1,$B67)</f>
        <v>1.9237</v>
      </c>
      <c r="W67" s="7">
        <f ca="1">[1]!b_calc_curve_chinabond("1082",W$1,$B67)</f>
        <v>1.9413</v>
      </c>
      <c r="X67" s="7">
        <f ca="1">[1]!b_calc_curve_chinabond("1082",X$1,$B67)</f>
        <v>1.9496</v>
      </c>
      <c r="Y67" s="7">
        <f ca="1">[1]!b_calc_curve_chinabond("1082",Y$1,$B67)</f>
        <v>1.9726999999999999</v>
      </c>
      <c r="Z67" s="7">
        <f ca="1">[1]!b_calc_curve_chinabond("1082",Z$1,$B67)</f>
        <v>0</v>
      </c>
      <c r="AA67" s="7">
        <f ca="1">[1]!b_calc_curve_chinabond("1082",AA$1,$B67)</f>
        <v>0</v>
      </c>
      <c r="AB67" s="7">
        <f ca="1">[1]!b_calc_curve_chinabond("1082",AB$1,$B67)</f>
        <v>1.9734</v>
      </c>
      <c r="AC67" s="7">
        <f ca="1">[1]!b_calc_curve_chinabond("1082",AC$1,$B67)</f>
        <v>1.9695</v>
      </c>
      <c r="AD67" s="7">
        <f ca="1">[1]!b_calc_curve_chinabond("1082",AD$1,$B67)</f>
        <v>1.9666999999999999</v>
      </c>
      <c r="AE67" s="7">
        <f ca="1">[1]!b_calc_curve_chinabond("1082",AE$1,$B67)</f>
        <v>1.9594</v>
      </c>
      <c r="AF67" s="7">
        <f ca="1">[1]!b_calc_curve_chinabond("1082",AF$1,$B67)</f>
        <v>0</v>
      </c>
      <c r="AG67" s="7">
        <f ca="1">[1]!b_calc_curve_chinabond("1082",AG$1,$B67)</f>
        <v>0</v>
      </c>
      <c r="AH67" s="7">
        <f ca="1">[1]!b_calc_curve_chinabond("1082",AH$1,$B67)</f>
        <v>0</v>
      </c>
      <c r="AI67" s="7">
        <f ca="1">[1]!b_calc_curve_chinabond("1082",AI$1,$B67)</f>
        <v>0</v>
      </c>
    </row>
    <row r="68" spans="1:35" ht="19.5" customHeight="1">
      <c r="A68" s="1" t="s">
        <v>68</v>
      </c>
      <c r="B68" s="2">
        <v>6</v>
      </c>
      <c r="C68" s="7">
        <f ca="1">[1]!b_calc_curve_chinabond("1082",C$1,$B68)</f>
        <v>2.0108000000000001</v>
      </c>
      <c r="D68" s="7">
        <f ca="1">[1]!b_calc_curve_chinabond("1082",D$1,$B68)</f>
        <v>2.0049999999999999</v>
      </c>
      <c r="E68" s="7">
        <f ca="1">[1]!b_calc_curve_chinabond("1082",E$1,$B68)</f>
        <v>0</v>
      </c>
      <c r="F68" s="7">
        <f ca="1">[1]!b_calc_curve_chinabond("1082",F$1,$B68)</f>
        <v>0</v>
      </c>
      <c r="G68" s="7">
        <f ca="1">[1]!b_calc_curve_chinabond("1082",G$1,$B68)</f>
        <v>2.0009999999999999</v>
      </c>
      <c r="H68" s="7">
        <f ca="1">[1]!b_calc_curve_chinabond("1082",H$1,$B68)</f>
        <v>1.9968999999999999</v>
      </c>
      <c r="I68" s="7">
        <f ca="1">[1]!b_calc_curve_chinabond("1082",I$1,$B68)</f>
        <v>1.9908999999999999</v>
      </c>
      <c r="J68" s="7">
        <f ca="1">[1]!b_calc_curve_chinabond("1082",J$1,$B68)</f>
        <v>1.9857</v>
      </c>
      <c r="K68" s="7">
        <f ca="1">[1]!b_calc_curve_chinabond("1082",K$1,$B68)</f>
        <v>1.9592000000000001</v>
      </c>
      <c r="L68" s="7">
        <f ca="1">[1]!b_calc_curve_chinabond("1082",L$1,$B68)</f>
        <v>0</v>
      </c>
      <c r="M68" s="7">
        <f ca="1">[1]!b_calc_curve_chinabond("1082",M$1,$B68)</f>
        <v>0</v>
      </c>
      <c r="N68" s="7">
        <f ca="1">[1]!b_calc_curve_chinabond("1082",N$1,$B68)</f>
        <v>1.9395</v>
      </c>
      <c r="O68" s="7">
        <f ca="1">[1]!b_calc_curve_chinabond("1082",O$1,$B68)</f>
        <v>1.9286000000000001</v>
      </c>
      <c r="P68" s="7">
        <f ca="1">[1]!b_calc_curve_chinabond("1082",P$1,$B68)</f>
        <v>1.9281999999999999</v>
      </c>
      <c r="Q68" s="7">
        <f ca="1">[1]!b_calc_curve_chinabond("1082",Q$1,$B68)</f>
        <v>1.9182999999999999</v>
      </c>
      <c r="R68" s="7">
        <f ca="1">[1]!b_calc_curve_chinabond("1082",R$1,$B68)</f>
        <v>1.9118999999999999</v>
      </c>
      <c r="S68" s="7">
        <f ca="1">[1]!b_calc_curve_chinabond("1082",S$1,$B68)</f>
        <v>0</v>
      </c>
      <c r="T68" s="7">
        <f ca="1">[1]!b_calc_curve_chinabond("1082",T$1,$B68)</f>
        <v>0</v>
      </c>
      <c r="U68" s="7">
        <f ca="1">[1]!b_calc_curve_chinabond("1082",U$1,$B68)</f>
        <v>1.9300999999999999</v>
      </c>
      <c r="V68" s="7">
        <f ca="1">[1]!b_calc_curve_chinabond("1082",V$1,$B68)</f>
        <v>1.9329000000000001</v>
      </c>
      <c r="W68" s="7">
        <f ca="1">[1]!b_calc_curve_chinabond("1082",W$1,$B68)</f>
        <v>1.9495</v>
      </c>
      <c r="X68" s="7">
        <f ca="1">[1]!b_calc_curve_chinabond("1082",X$1,$B68)</f>
        <v>1.956</v>
      </c>
      <c r="Y68" s="7">
        <f ca="1">[1]!b_calc_curve_chinabond("1082",Y$1,$B68)</f>
        <v>1.9804999999999999</v>
      </c>
      <c r="Z68" s="7">
        <f ca="1">[1]!b_calc_curve_chinabond("1082",Z$1,$B68)</f>
        <v>0</v>
      </c>
      <c r="AA68" s="7">
        <f ca="1">[1]!b_calc_curve_chinabond("1082",AA$1,$B68)</f>
        <v>0</v>
      </c>
      <c r="AB68" s="7">
        <f ca="1">[1]!b_calc_curve_chinabond("1082",AB$1,$B68)</f>
        <v>1.9815</v>
      </c>
      <c r="AC68" s="7">
        <f ca="1">[1]!b_calc_curve_chinabond("1082",AC$1,$B68)</f>
        <v>1.9776</v>
      </c>
      <c r="AD68" s="7">
        <f ca="1">[1]!b_calc_curve_chinabond("1082",AD$1,$B68)</f>
        <v>1.9749000000000001</v>
      </c>
      <c r="AE68" s="7">
        <f ca="1">[1]!b_calc_curve_chinabond("1082",AE$1,$B68)</f>
        <v>1.9676</v>
      </c>
      <c r="AF68" s="7">
        <f ca="1">[1]!b_calc_curve_chinabond("1082",AF$1,$B68)</f>
        <v>0</v>
      </c>
      <c r="AG68" s="7">
        <f ca="1">[1]!b_calc_curve_chinabond("1082",AG$1,$B68)</f>
        <v>0</v>
      </c>
      <c r="AH68" s="7">
        <f ca="1">[1]!b_calc_curve_chinabond("1082",AH$1,$B68)</f>
        <v>0</v>
      </c>
      <c r="AI68" s="7">
        <f ca="1">[1]!b_calc_curve_chinabond("1082",AI$1,$B68)</f>
        <v>0</v>
      </c>
    </row>
    <row r="69" spans="1:35" ht="19.5" customHeight="1">
      <c r="A69" s="3" t="s">
        <v>69</v>
      </c>
      <c r="B69" s="4">
        <v>6.1</v>
      </c>
      <c r="C69" s="7">
        <f ca="1">[1]!b_calc_curve_chinabond("1082",C$1,$B69)</f>
        <v>2.0222000000000002</v>
      </c>
      <c r="D69" s="7">
        <f ca="1">[1]!b_calc_curve_chinabond("1082",D$1,$B69)</f>
        <v>2.0162</v>
      </c>
      <c r="E69" s="7">
        <f ca="1">[1]!b_calc_curve_chinabond("1082",E$1,$B69)</f>
        <v>0</v>
      </c>
      <c r="F69" s="7">
        <f ca="1">[1]!b_calc_curve_chinabond("1082",F$1,$B69)</f>
        <v>0</v>
      </c>
      <c r="G69" s="7">
        <f ca="1">[1]!b_calc_curve_chinabond("1082",G$1,$B69)</f>
        <v>2.012</v>
      </c>
      <c r="H69" s="7">
        <f ca="1">[1]!b_calc_curve_chinabond("1082",H$1,$B69)</f>
        <v>2.0087999999999999</v>
      </c>
      <c r="I69" s="7">
        <f ca="1">[1]!b_calc_curve_chinabond("1082",I$1,$B69)</f>
        <v>2.0028000000000001</v>
      </c>
      <c r="J69" s="7">
        <f ca="1">[1]!b_calc_curve_chinabond("1082",J$1,$B69)</f>
        <v>1.9978</v>
      </c>
      <c r="K69" s="7">
        <f ca="1">[1]!b_calc_curve_chinabond("1082",K$1,$B69)</f>
        <v>1.9705999999999999</v>
      </c>
      <c r="L69" s="7">
        <f ca="1">[1]!b_calc_curve_chinabond("1082",L$1,$B69)</f>
        <v>0</v>
      </c>
      <c r="M69" s="7">
        <f ca="1">[1]!b_calc_curve_chinabond("1082",M$1,$B69)</f>
        <v>0</v>
      </c>
      <c r="N69" s="7">
        <f ca="1">[1]!b_calc_curve_chinabond("1082",N$1,$B69)</f>
        <v>1.9495</v>
      </c>
      <c r="O69" s="7">
        <f ca="1">[1]!b_calc_curve_chinabond("1082",O$1,$B69)</f>
        <v>1.9393</v>
      </c>
      <c r="P69" s="7">
        <f ca="1">[1]!b_calc_curve_chinabond("1082",P$1,$B69)</f>
        <v>1.9393</v>
      </c>
      <c r="Q69" s="7">
        <f ca="1">[1]!b_calc_curve_chinabond("1082",Q$1,$B69)</f>
        <v>1.9293</v>
      </c>
      <c r="R69" s="7">
        <f ca="1">[1]!b_calc_curve_chinabond("1082",R$1,$B69)</f>
        <v>1.9234</v>
      </c>
      <c r="S69" s="7">
        <f ca="1">[1]!b_calc_curve_chinabond("1082",S$1,$B69)</f>
        <v>0</v>
      </c>
      <c r="T69" s="7">
        <f ca="1">[1]!b_calc_curve_chinabond("1082",T$1,$B69)</f>
        <v>0</v>
      </c>
      <c r="U69" s="7">
        <f ca="1">[1]!b_calc_curve_chinabond("1082",U$1,$B69)</f>
        <v>1.9415</v>
      </c>
      <c r="V69" s="7">
        <f ca="1">[1]!b_calc_curve_chinabond("1082",V$1,$B69)</f>
        <v>1.9434</v>
      </c>
      <c r="W69" s="7">
        <f ca="1">[1]!b_calc_curve_chinabond("1082",W$1,$B69)</f>
        <v>1.9593</v>
      </c>
      <c r="X69" s="7">
        <f ca="1">[1]!b_calc_curve_chinabond("1082",X$1,$B69)</f>
        <v>1.9642999999999999</v>
      </c>
      <c r="Y69" s="7">
        <f ca="1">[1]!b_calc_curve_chinabond("1082",Y$1,$B69)</f>
        <v>1.9898</v>
      </c>
      <c r="Z69" s="7">
        <f ca="1">[1]!b_calc_curve_chinabond("1082",Z$1,$B69)</f>
        <v>0</v>
      </c>
      <c r="AA69" s="7">
        <f ca="1">[1]!b_calc_curve_chinabond("1082",AA$1,$B69)</f>
        <v>0</v>
      </c>
      <c r="AB69" s="7">
        <f ca="1">[1]!b_calc_curve_chinabond("1082",AB$1,$B69)</f>
        <v>1.9910000000000001</v>
      </c>
      <c r="AC69" s="7">
        <f ca="1">[1]!b_calc_curve_chinabond("1082",AC$1,$B69)</f>
        <v>1.9870000000000001</v>
      </c>
      <c r="AD69" s="7">
        <f ca="1">[1]!b_calc_curve_chinabond("1082",AD$1,$B69)</f>
        <v>1.9843999999999999</v>
      </c>
      <c r="AE69" s="7">
        <f ca="1">[1]!b_calc_curve_chinabond("1082",AE$1,$B69)</f>
        <v>1.9771000000000001</v>
      </c>
      <c r="AF69" s="7">
        <f ca="1">[1]!b_calc_curve_chinabond("1082",AF$1,$B69)</f>
        <v>0</v>
      </c>
      <c r="AG69" s="7">
        <f ca="1">[1]!b_calc_curve_chinabond("1082",AG$1,$B69)</f>
        <v>0</v>
      </c>
      <c r="AH69" s="7">
        <f ca="1">[1]!b_calc_curve_chinabond("1082",AH$1,$B69)</f>
        <v>0</v>
      </c>
      <c r="AI69" s="7">
        <f ca="1">[1]!b_calc_curve_chinabond("1082",AI$1,$B69)</f>
        <v>0</v>
      </c>
    </row>
    <row r="70" spans="1:35" ht="19.5" customHeight="1">
      <c r="A70" s="1" t="s">
        <v>70</v>
      </c>
      <c r="B70" s="2">
        <v>6.2</v>
      </c>
      <c r="C70" s="7">
        <f ca="1">[1]!b_calc_curve_chinabond("1082",C$1,$B70)</f>
        <v>2.0331000000000001</v>
      </c>
      <c r="D70" s="7">
        <f ca="1">[1]!b_calc_curve_chinabond("1082",D$1,$B70)</f>
        <v>2.0268999999999999</v>
      </c>
      <c r="E70" s="7">
        <f ca="1">[1]!b_calc_curve_chinabond("1082",E$1,$B70)</f>
        <v>0</v>
      </c>
      <c r="F70" s="7">
        <f ca="1">[1]!b_calc_curve_chinabond("1082",F$1,$B70)</f>
        <v>0</v>
      </c>
      <c r="G70" s="7">
        <f ca="1">[1]!b_calc_curve_chinabond("1082",G$1,$B70)</f>
        <v>2.0226999999999999</v>
      </c>
      <c r="H70" s="7">
        <f ca="1">[1]!b_calc_curve_chinabond("1082",H$1,$B70)</f>
        <v>2.0198999999999998</v>
      </c>
      <c r="I70" s="7">
        <f ca="1">[1]!b_calc_curve_chinabond("1082",I$1,$B70)</f>
        <v>2.0139999999999998</v>
      </c>
      <c r="J70" s="7">
        <f ca="1">[1]!b_calc_curve_chinabond("1082",J$1,$B70)</f>
        <v>2.0089999999999999</v>
      </c>
      <c r="K70" s="7">
        <f ca="1">[1]!b_calc_curve_chinabond("1082",K$1,$B70)</f>
        <v>1.9824999999999999</v>
      </c>
      <c r="L70" s="7">
        <f ca="1">[1]!b_calc_curve_chinabond("1082",L$1,$B70)</f>
        <v>0</v>
      </c>
      <c r="M70" s="7">
        <f ca="1">[1]!b_calc_curve_chinabond("1082",M$1,$B70)</f>
        <v>0</v>
      </c>
      <c r="N70" s="7">
        <f ca="1">[1]!b_calc_curve_chinabond("1082",N$1,$B70)</f>
        <v>1.9610000000000001</v>
      </c>
      <c r="O70" s="7">
        <f ca="1">[1]!b_calc_curve_chinabond("1082",O$1,$B70)</f>
        <v>1.9518</v>
      </c>
      <c r="P70" s="7">
        <f ca="1">[1]!b_calc_curve_chinabond("1082",P$1,$B70)</f>
        <v>1.9515</v>
      </c>
      <c r="Q70" s="7">
        <f ca="1">[1]!b_calc_curve_chinabond("1082",Q$1,$B70)</f>
        <v>1.9415</v>
      </c>
      <c r="R70" s="7">
        <f ca="1">[1]!b_calc_curve_chinabond("1082",R$1,$B70)</f>
        <v>1.9359999999999999</v>
      </c>
      <c r="S70" s="7">
        <f ca="1">[1]!b_calc_curve_chinabond("1082",S$1,$B70)</f>
        <v>0</v>
      </c>
      <c r="T70" s="7">
        <f ca="1">[1]!b_calc_curve_chinabond("1082",T$1,$B70)</f>
        <v>0</v>
      </c>
      <c r="U70" s="7">
        <f ca="1">[1]!b_calc_curve_chinabond("1082",U$1,$B70)</f>
        <v>1.9536</v>
      </c>
      <c r="V70" s="7">
        <f ca="1">[1]!b_calc_curve_chinabond("1082",V$1,$B70)</f>
        <v>1.9559</v>
      </c>
      <c r="W70" s="7">
        <f ca="1">[1]!b_calc_curve_chinabond("1082",W$1,$B70)</f>
        <v>1.9713000000000001</v>
      </c>
      <c r="X70" s="7">
        <f ca="1">[1]!b_calc_curve_chinabond("1082",X$1,$B70)</f>
        <v>1.9753000000000001</v>
      </c>
      <c r="Y70" s="7">
        <f ca="1">[1]!b_calc_curve_chinabond("1082",Y$1,$B70)</f>
        <v>2.0011000000000001</v>
      </c>
      <c r="Z70" s="7">
        <f ca="1">[1]!b_calc_curve_chinabond("1082",Z$1,$B70)</f>
        <v>0</v>
      </c>
      <c r="AA70" s="7">
        <f ca="1">[1]!b_calc_curve_chinabond("1082",AA$1,$B70)</f>
        <v>0</v>
      </c>
      <c r="AB70" s="7">
        <f ca="1">[1]!b_calc_curve_chinabond("1082",AB$1,$B70)</f>
        <v>2.0024000000000002</v>
      </c>
      <c r="AC70" s="7">
        <f ca="1">[1]!b_calc_curve_chinabond("1082",AC$1,$B70)</f>
        <v>1.9984</v>
      </c>
      <c r="AD70" s="7">
        <f ca="1">[1]!b_calc_curve_chinabond("1082",AD$1,$B70)</f>
        <v>1.9955000000000001</v>
      </c>
      <c r="AE70" s="7">
        <f ca="1">[1]!b_calc_curve_chinabond("1082",AE$1,$B70)</f>
        <v>1.9885999999999999</v>
      </c>
      <c r="AF70" s="7">
        <f ca="1">[1]!b_calc_curve_chinabond("1082",AF$1,$B70)</f>
        <v>0</v>
      </c>
      <c r="AG70" s="7">
        <f ca="1">[1]!b_calc_curve_chinabond("1082",AG$1,$B70)</f>
        <v>0</v>
      </c>
      <c r="AH70" s="7">
        <f ca="1">[1]!b_calc_curve_chinabond("1082",AH$1,$B70)</f>
        <v>0</v>
      </c>
      <c r="AI70" s="7">
        <f ca="1">[1]!b_calc_curve_chinabond("1082",AI$1,$B70)</f>
        <v>0</v>
      </c>
    </row>
    <row r="71" spans="1:35" ht="19.5" customHeight="1">
      <c r="A71" s="3" t="s">
        <v>71</v>
      </c>
      <c r="B71" s="4">
        <v>6.3</v>
      </c>
      <c r="C71" s="7">
        <f ca="1">[1]!b_calc_curve_chinabond("1082",C$1,$B71)</f>
        <v>2.0434999999999999</v>
      </c>
      <c r="D71" s="7">
        <f ca="1">[1]!b_calc_curve_chinabond("1082",D$1,$B71)</f>
        <v>2.0371999999999999</v>
      </c>
      <c r="E71" s="7">
        <f ca="1">[1]!b_calc_curve_chinabond("1082",E$1,$B71)</f>
        <v>0</v>
      </c>
      <c r="F71" s="7">
        <f ca="1">[1]!b_calc_curve_chinabond("1082",F$1,$B71)</f>
        <v>0</v>
      </c>
      <c r="G71" s="7">
        <f ca="1">[1]!b_calc_curve_chinabond("1082",G$1,$B71)</f>
        <v>2.0329999999999999</v>
      </c>
      <c r="H71" s="7">
        <f ca="1">[1]!b_calc_curve_chinabond("1082",H$1,$B71)</f>
        <v>2.0304000000000002</v>
      </c>
      <c r="I71" s="7">
        <f ca="1">[1]!b_calc_curve_chinabond("1082",I$1,$B71)</f>
        <v>2.0247000000000002</v>
      </c>
      <c r="J71" s="7">
        <f ca="1">[1]!b_calc_curve_chinabond("1082",J$1,$B71)</f>
        <v>2.0194000000000001</v>
      </c>
      <c r="K71" s="7">
        <f ca="1">[1]!b_calc_curve_chinabond("1082",K$1,$B71)</f>
        <v>1.9947999999999999</v>
      </c>
      <c r="L71" s="7">
        <f ca="1">[1]!b_calc_curve_chinabond("1082",L$1,$B71)</f>
        <v>0</v>
      </c>
      <c r="M71" s="7">
        <f ca="1">[1]!b_calc_curve_chinabond("1082",M$1,$B71)</f>
        <v>0</v>
      </c>
      <c r="N71" s="7">
        <f ca="1">[1]!b_calc_curve_chinabond("1082",N$1,$B71)</f>
        <v>1.9737</v>
      </c>
      <c r="O71" s="7">
        <f ca="1">[1]!b_calc_curve_chinabond("1082",O$1,$B71)</f>
        <v>1.9657</v>
      </c>
      <c r="P71" s="7">
        <f ca="1">[1]!b_calc_curve_chinabond("1082",P$1,$B71)</f>
        <v>1.9646999999999999</v>
      </c>
      <c r="Q71" s="7">
        <f ca="1">[1]!b_calc_curve_chinabond("1082",Q$1,$B71)</f>
        <v>1.9544999999999999</v>
      </c>
      <c r="R71" s="7">
        <f ca="1">[1]!b_calc_curve_chinabond("1082",R$1,$B71)</f>
        <v>1.9495</v>
      </c>
      <c r="S71" s="7">
        <f ca="1">[1]!b_calc_curve_chinabond("1082",S$1,$B71)</f>
        <v>0</v>
      </c>
      <c r="T71" s="7">
        <f ca="1">[1]!b_calc_curve_chinabond("1082",T$1,$B71)</f>
        <v>0</v>
      </c>
      <c r="U71" s="7">
        <f ca="1">[1]!b_calc_curve_chinabond("1082",U$1,$B71)</f>
        <v>1.9663999999999999</v>
      </c>
      <c r="V71" s="7">
        <f ca="1">[1]!b_calc_curve_chinabond("1082",V$1,$B71)</f>
        <v>1.9702999999999999</v>
      </c>
      <c r="W71" s="7">
        <f ca="1">[1]!b_calc_curve_chinabond("1082",W$1,$B71)</f>
        <v>1.9851000000000001</v>
      </c>
      <c r="X71" s="7">
        <f ca="1">[1]!b_calc_curve_chinabond("1082",X$1,$B71)</f>
        <v>1.9884999999999999</v>
      </c>
      <c r="Y71" s="7">
        <f ca="1">[1]!b_calc_curve_chinabond("1082",Y$1,$B71)</f>
        <v>2.0139</v>
      </c>
      <c r="Z71" s="7">
        <f ca="1">[1]!b_calc_curve_chinabond("1082",Z$1,$B71)</f>
        <v>0</v>
      </c>
      <c r="AA71" s="7">
        <f ca="1">[1]!b_calc_curve_chinabond("1082",AA$1,$B71)</f>
        <v>0</v>
      </c>
      <c r="AB71" s="7">
        <f ca="1">[1]!b_calc_curve_chinabond("1082",AB$1,$B71)</f>
        <v>2.0154999999999998</v>
      </c>
      <c r="AC71" s="7">
        <f ca="1">[1]!b_calc_curve_chinabond("1082",AC$1,$B71)</f>
        <v>2.0114000000000001</v>
      </c>
      <c r="AD71" s="7">
        <f ca="1">[1]!b_calc_curve_chinabond("1082",AD$1,$B71)</f>
        <v>2.008</v>
      </c>
      <c r="AE71" s="7">
        <f ca="1">[1]!b_calc_curve_chinabond("1082",AE$1,$B71)</f>
        <v>2.0017999999999998</v>
      </c>
      <c r="AF71" s="7">
        <f ca="1">[1]!b_calc_curve_chinabond("1082",AF$1,$B71)</f>
        <v>0</v>
      </c>
      <c r="AG71" s="7">
        <f ca="1">[1]!b_calc_curve_chinabond("1082",AG$1,$B71)</f>
        <v>0</v>
      </c>
      <c r="AH71" s="7">
        <f ca="1">[1]!b_calc_curve_chinabond("1082",AH$1,$B71)</f>
        <v>0</v>
      </c>
      <c r="AI71" s="7">
        <f ca="1">[1]!b_calc_curve_chinabond("1082",AI$1,$B71)</f>
        <v>0</v>
      </c>
    </row>
    <row r="72" spans="1:35" ht="19.5" customHeight="1">
      <c r="A72" s="1" t="s">
        <v>72</v>
      </c>
      <c r="B72" s="2">
        <v>6.4</v>
      </c>
      <c r="C72" s="7">
        <f ca="1">[1]!b_calc_curve_chinabond("1082",C$1,$B72)</f>
        <v>2.0535000000000001</v>
      </c>
      <c r="D72" s="7">
        <f ca="1">[1]!b_calc_curve_chinabond("1082",D$1,$B72)</f>
        <v>2.0472999999999999</v>
      </c>
      <c r="E72" s="7">
        <f ca="1">[1]!b_calc_curve_chinabond("1082",E$1,$B72)</f>
        <v>0</v>
      </c>
      <c r="F72" s="7">
        <f ca="1">[1]!b_calc_curve_chinabond("1082",F$1,$B72)</f>
        <v>0</v>
      </c>
      <c r="G72" s="7">
        <f ca="1">[1]!b_calc_curve_chinabond("1082",G$1,$B72)</f>
        <v>2.0430000000000001</v>
      </c>
      <c r="H72" s="7">
        <f ca="1">[1]!b_calc_curve_chinabond("1082",H$1,$B72)</f>
        <v>2.0404</v>
      </c>
      <c r="I72" s="7">
        <f ca="1">[1]!b_calc_curve_chinabond("1082",I$1,$B72)</f>
        <v>2.0350000000000001</v>
      </c>
      <c r="J72" s="7">
        <f ca="1">[1]!b_calc_curve_chinabond("1082",J$1,$B72)</f>
        <v>2.0291000000000001</v>
      </c>
      <c r="K72" s="7">
        <f ca="1">[1]!b_calc_curve_chinabond("1082",K$1,$B72)</f>
        <v>2.0074999999999998</v>
      </c>
      <c r="L72" s="7">
        <f ca="1">[1]!b_calc_curve_chinabond("1082",L$1,$B72)</f>
        <v>0</v>
      </c>
      <c r="M72" s="7">
        <f ca="1">[1]!b_calc_curve_chinabond("1082",M$1,$B72)</f>
        <v>0</v>
      </c>
      <c r="N72" s="7">
        <f ca="1">[1]!b_calc_curve_chinabond("1082",N$1,$B72)</f>
        <v>1.9874000000000001</v>
      </c>
      <c r="O72" s="7">
        <f ca="1">[1]!b_calc_curve_chinabond("1082",O$1,$B72)</f>
        <v>1.9805999999999999</v>
      </c>
      <c r="P72" s="7">
        <f ca="1">[1]!b_calc_curve_chinabond("1082",P$1,$B72)</f>
        <v>1.9785999999999999</v>
      </c>
      <c r="Q72" s="7">
        <f ca="1">[1]!b_calc_curve_chinabond("1082",Q$1,$B72)</f>
        <v>1.9682999999999999</v>
      </c>
      <c r="R72" s="7">
        <f ca="1">[1]!b_calc_curve_chinabond("1082",R$1,$B72)</f>
        <v>1.9637</v>
      </c>
      <c r="S72" s="7">
        <f ca="1">[1]!b_calc_curve_chinabond("1082",S$1,$B72)</f>
        <v>0</v>
      </c>
      <c r="T72" s="7">
        <f ca="1">[1]!b_calc_curve_chinabond("1082",T$1,$B72)</f>
        <v>0</v>
      </c>
      <c r="U72" s="7">
        <f ca="1">[1]!b_calc_curve_chinabond("1082",U$1,$B72)</f>
        <v>1.9797</v>
      </c>
      <c r="V72" s="7">
        <f ca="1">[1]!b_calc_curve_chinabond("1082",V$1,$B72)</f>
        <v>1.986</v>
      </c>
      <c r="W72" s="7">
        <f ca="1">[1]!b_calc_curve_chinabond("1082",W$1,$B72)</f>
        <v>2.0004</v>
      </c>
      <c r="X72" s="7">
        <f ca="1">[1]!b_calc_curve_chinabond("1082",X$1,$B72)</f>
        <v>2.0034000000000001</v>
      </c>
      <c r="Y72" s="7">
        <f ca="1">[1]!b_calc_curve_chinabond("1082",Y$1,$B72)</f>
        <v>2.0280999999999998</v>
      </c>
      <c r="Z72" s="7">
        <f ca="1">[1]!b_calc_curve_chinabond("1082",Z$1,$B72)</f>
        <v>0</v>
      </c>
      <c r="AA72" s="7">
        <f ca="1">[1]!b_calc_curve_chinabond("1082",AA$1,$B72)</f>
        <v>0</v>
      </c>
      <c r="AB72" s="7">
        <f ca="1">[1]!b_calc_curve_chinabond("1082",AB$1,$B72)</f>
        <v>2.0297999999999998</v>
      </c>
      <c r="AC72" s="7">
        <f ca="1">[1]!b_calc_curve_chinabond("1082",AC$1,$B72)</f>
        <v>2.0257999999999998</v>
      </c>
      <c r="AD72" s="7">
        <f ca="1">[1]!b_calc_curve_chinabond("1082",AD$1,$B72)</f>
        <v>2.0215000000000001</v>
      </c>
      <c r="AE72" s="7">
        <f ca="1">[1]!b_calc_curve_chinabond("1082",AE$1,$B72)</f>
        <v>2.0162</v>
      </c>
      <c r="AF72" s="7">
        <f ca="1">[1]!b_calc_curve_chinabond("1082",AF$1,$B72)</f>
        <v>0</v>
      </c>
      <c r="AG72" s="7">
        <f ca="1">[1]!b_calc_curve_chinabond("1082",AG$1,$B72)</f>
        <v>0</v>
      </c>
      <c r="AH72" s="7">
        <f ca="1">[1]!b_calc_curve_chinabond("1082",AH$1,$B72)</f>
        <v>0</v>
      </c>
      <c r="AI72" s="7">
        <f ca="1">[1]!b_calc_curve_chinabond("1082",AI$1,$B72)</f>
        <v>0</v>
      </c>
    </row>
    <row r="73" spans="1:35" ht="19.5" customHeight="1">
      <c r="A73" s="3" t="s">
        <v>73</v>
      </c>
      <c r="B73" s="4">
        <v>6.5</v>
      </c>
      <c r="C73" s="7">
        <f ca="1">[1]!b_calc_curve_chinabond("1082",C$1,$B73)</f>
        <v>2.0634000000000001</v>
      </c>
      <c r="D73" s="7">
        <f ca="1">[1]!b_calc_curve_chinabond("1082",D$1,$B73)</f>
        <v>2.0571999999999999</v>
      </c>
      <c r="E73" s="7">
        <f ca="1">[1]!b_calc_curve_chinabond("1082",E$1,$B73)</f>
        <v>0</v>
      </c>
      <c r="F73" s="7">
        <f ca="1">[1]!b_calc_curve_chinabond("1082",F$1,$B73)</f>
        <v>0</v>
      </c>
      <c r="G73" s="7">
        <f ca="1">[1]!b_calc_curve_chinabond("1082",G$1,$B73)</f>
        <v>2.0528</v>
      </c>
      <c r="H73" s="7">
        <f ca="1">[1]!b_calc_curve_chinabond("1082",H$1,$B73)</f>
        <v>2.0499999999999998</v>
      </c>
      <c r="I73" s="7">
        <f ca="1">[1]!b_calc_curve_chinabond("1082",I$1,$B73)</f>
        <v>2.0449999999999999</v>
      </c>
      <c r="J73" s="7">
        <f ca="1">[1]!b_calc_curve_chinabond("1082",J$1,$B73)</f>
        <v>2.0385</v>
      </c>
      <c r="K73" s="7">
        <f ca="1">[1]!b_calc_curve_chinabond("1082",K$1,$B73)</f>
        <v>2.0203000000000002</v>
      </c>
      <c r="L73" s="7">
        <f ca="1">[1]!b_calc_curve_chinabond("1082",L$1,$B73)</f>
        <v>0</v>
      </c>
      <c r="M73" s="7">
        <f ca="1">[1]!b_calc_curve_chinabond("1082",M$1,$B73)</f>
        <v>0</v>
      </c>
      <c r="N73" s="7">
        <f ca="1">[1]!b_calc_curve_chinabond("1082",N$1,$B73)</f>
        <v>2.0017</v>
      </c>
      <c r="O73" s="7">
        <f ca="1">[1]!b_calc_curve_chinabond("1082",O$1,$B73)</f>
        <v>1.9963</v>
      </c>
      <c r="P73" s="7">
        <f ca="1">[1]!b_calc_curve_chinabond("1082",P$1,$B73)</f>
        <v>1.9931000000000001</v>
      </c>
      <c r="Q73" s="7">
        <f ca="1">[1]!b_calc_curve_chinabond("1082",Q$1,$B73)</f>
        <v>1.9826999999999999</v>
      </c>
      <c r="R73" s="7">
        <f ca="1">[1]!b_calc_curve_chinabond("1082",R$1,$B73)</f>
        <v>1.9784999999999999</v>
      </c>
      <c r="S73" s="7">
        <f ca="1">[1]!b_calc_curve_chinabond("1082",S$1,$B73)</f>
        <v>0</v>
      </c>
      <c r="T73" s="7">
        <f ca="1">[1]!b_calc_curve_chinabond("1082",T$1,$B73)</f>
        <v>0</v>
      </c>
      <c r="U73" s="7">
        <f ca="1">[1]!b_calc_curve_chinabond("1082",U$1,$B73)</f>
        <v>1.9934000000000001</v>
      </c>
      <c r="V73" s="7">
        <f ca="1">[1]!b_calc_curve_chinabond("1082",V$1,$B73)</f>
        <v>2.0028000000000001</v>
      </c>
      <c r="W73" s="7">
        <f ca="1">[1]!b_calc_curve_chinabond("1082",W$1,$B73)</f>
        <v>2.0165999999999999</v>
      </c>
      <c r="X73" s="7">
        <f ca="1">[1]!b_calc_curve_chinabond("1082",X$1,$B73)</f>
        <v>2.0196000000000001</v>
      </c>
      <c r="Y73" s="7">
        <f ca="1">[1]!b_calc_curve_chinabond("1082",Y$1,$B73)</f>
        <v>2.0432000000000001</v>
      </c>
      <c r="Z73" s="7">
        <f ca="1">[1]!b_calc_curve_chinabond("1082",Z$1,$B73)</f>
        <v>0</v>
      </c>
      <c r="AA73" s="7">
        <f ca="1">[1]!b_calc_curve_chinabond("1082",AA$1,$B73)</f>
        <v>0</v>
      </c>
      <c r="AB73" s="7">
        <f ca="1">[1]!b_calc_curve_chinabond("1082",AB$1,$B73)</f>
        <v>2.0451000000000001</v>
      </c>
      <c r="AC73" s="7">
        <f ca="1">[1]!b_calc_curve_chinabond("1082",AC$1,$B73)</f>
        <v>2.0409999999999999</v>
      </c>
      <c r="AD73" s="7">
        <f ca="1">[1]!b_calc_curve_chinabond("1082",AD$1,$B73)</f>
        <v>2.0358000000000001</v>
      </c>
      <c r="AE73" s="7">
        <f ca="1">[1]!b_calc_curve_chinabond("1082",AE$1,$B73)</f>
        <v>2.0316000000000001</v>
      </c>
      <c r="AF73" s="7">
        <f ca="1">[1]!b_calc_curve_chinabond("1082",AF$1,$B73)</f>
        <v>0</v>
      </c>
      <c r="AG73" s="7">
        <f ca="1">[1]!b_calc_curve_chinabond("1082",AG$1,$B73)</f>
        <v>0</v>
      </c>
      <c r="AH73" s="7">
        <f ca="1">[1]!b_calc_curve_chinabond("1082",AH$1,$B73)</f>
        <v>0</v>
      </c>
      <c r="AI73" s="7">
        <f ca="1">[1]!b_calc_curve_chinabond("1082",AI$1,$B73)</f>
        <v>0</v>
      </c>
    </row>
    <row r="74" spans="1:35" ht="19.5" customHeight="1">
      <c r="A74" s="1" t="s">
        <v>74</v>
      </c>
      <c r="B74" s="2">
        <v>6.6</v>
      </c>
      <c r="C74" s="7">
        <f ca="1">[1]!b_calc_curve_chinabond("1082",C$1,$B74)</f>
        <v>2.0731000000000002</v>
      </c>
      <c r="D74" s="7">
        <f ca="1">[1]!b_calc_curve_chinabond("1082",D$1,$B74)</f>
        <v>2.0670000000000002</v>
      </c>
      <c r="E74" s="7">
        <f ca="1">[1]!b_calc_curve_chinabond("1082",E$1,$B74)</f>
        <v>0</v>
      </c>
      <c r="F74" s="7">
        <f ca="1">[1]!b_calc_curve_chinabond("1082",F$1,$B74)</f>
        <v>0</v>
      </c>
      <c r="G74" s="7">
        <f ca="1">[1]!b_calc_curve_chinabond("1082",G$1,$B74)</f>
        <v>2.0625</v>
      </c>
      <c r="H74" s="7">
        <f ca="1">[1]!b_calc_curve_chinabond("1082",H$1,$B74)</f>
        <v>2.0594999999999999</v>
      </c>
      <c r="I74" s="7">
        <f ca="1">[1]!b_calc_curve_chinabond("1082",I$1,$B74)</f>
        <v>2.0548000000000002</v>
      </c>
      <c r="J74" s="7">
        <f ca="1">[1]!b_calc_curve_chinabond("1082",J$1,$B74)</f>
        <v>2.0474999999999999</v>
      </c>
      <c r="K74" s="7">
        <f ca="1">[1]!b_calc_curve_chinabond("1082",K$1,$B74)</f>
        <v>2.0333000000000001</v>
      </c>
      <c r="L74" s="7">
        <f ca="1">[1]!b_calc_curve_chinabond("1082",L$1,$B74)</f>
        <v>0</v>
      </c>
      <c r="M74" s="7">
        <f ca="1">[1]!b_calc_curve_chinabond("1082",M$1,$B74)</f>
        <v>0</v>
      </c>
      <c r="N74" s="7">
        <f ca="1">[1]!b_calc_curve_chinabond("1082",N$1,$B74)</f>
        <v>2.0165000000000002</v>
      </c>
      <c r="O74" s="7">
        <f ca="1">[1]!b_calc_curve_chinabond("1082",O$1,$B74)</f>
        <v>2.0124</v>
      </c>
      <c r="P74" s="7">
        <f ca="1">[1]!b_calc_curve_chinabond("1082",P$1,$B74)</f>
        <v>2.0078999999999998</v>
      </c>
      <c r="Q74" s="7">
        <f ca="1">[1]!b_calc_curve_chinabond("1082",Q$1,$B74)</f>
        <v>1.9973000000000001</v>
      </c>
      <c r="R74" s="7">
        <f ca="1">[1]!b_calc_curve_chinabond("1082",R$1,$B74)</f>
        <v>1.9936</v>
      </c>
      <c r="S74" s="7">
        <f ca="1">[1]!b_calc_curve_chinabond("1082",S$1,$B74)</f>
        <v>0</v>
      </c>
      <c r="T74" s="7">
        <f ca="1">[1]!b_calc_curve_chinabond("1082",T$1,$B74)</f>
        <v>0</v>
      </c>
      <c r="U74" s="7">
        <f ca="1">[1]!b_calc_curve_chinabond("1082",U$1,$B74)</f>
        <v>2.0072999999999999</v>
      </c>
      <c r="V74" s="7">
        <f ca="1">[1]!b_calc_curve_chinabond("1082",V$1,$B74)</f>
        <v>2.0202</v>
      </c>
      <c r="W74" s="7">
        <f ca="1">[1]!b_calc_curve_chinabond("1082",W$1,$B74)</f>
        <v>2.0335999999999999</v>
      </c>
      <c r="X74" s="7">
        <f ca="1">[1]!b_calc_curve_chinabond("1082",X$1,$B74)</f>
        <v>2.0365000000000002</v>
      </c>
      <c r="Y74" s="7">
        <f ca="1">[1]!b_calc_curve_chinabond("1082",Y$1,$B74)</f>
        <v>2.0588000000000002</v>
      </c>
      <c r="Z74" s="7">
        <f ca="1">[1]!b_calc_curve_chinabond("1082",Z$1,$B74)</f>
        <v>0</v>
      </c>
      <c r="AA74" s="7">
        <f ca="1">[1]!b_calc_curve_chinabond("1082",AA$1,$B74)</f>
        <v>0</v>
      </c>
      <c r="AB74" s="7">
        <f ca="1">[1]!b_calc_curve_chinabond("1082",AB$1,$B74)</f>
        <v>2.0609000000000002</v>
      </c>
      <c r="AC74" s="7">
        <f ca="1">[1]!b_calc_curve_chinabond("1082",AC$1,$B74)</f>
        <v>2.0569000000000002</v>
      </c>
      <c r="AD74" s="7">
        <f ca="1">[1]!b_calc_curve_chinabond("1082",AD$1,$B74)</f>
        <v>2.0506000000000002</v>
      </c>
      <c r="AE74" s="7">
        <f ca="1">[1]!b_calc_curve_chinabond("1082",AE$1,$B74)</f>
        <v>2.0476000000000001</v>
      </c>
      <c r="AF74" s="7">
        <f ca="1">[1]!b_calc_curve_chinabond("1082",AF$1,$B74)</f>
        <v>0</v>
      </c>
      <c r="AG74" s="7">
        <f ca="1">[1]!b_calc_curve_chinabond("1082",AG$1,$B74)</f>
        <v>0</v>
      </c>
      <c r="AH74" s="7">
        <f ca="1">[1]!b_calc_curve_chinabond("1082",AH$1,$B74)</f>
        <v>0</v>
      </c>
      <c r="AI74" s="7">
        <f ca="1">[1]!b_calc_curve_chinabond("1082",AI$1,$B74)</f>
        <v>0</v>
      </c>
    </row>
    <row r="75" spans="1:35" ht="19.5" customHeight="1">
      <c r="A75" s="3" t="s">
        <v>75</v>
      </c>
      <c r="B75" s="4">
        <v>6.7</v>
      </c>
      <c r="C75" s="7">
        <f ca="1">[1]!b_calc_curve_chinabond("1082",C$1,$B75)</f>
        <v>2.0827</v>
      </c>
      <c r="D75" s="7">
        <f ca="1">[1]!b_calc_curve_chinabond("1082",D$1,$B75)</f>
        <v>2.0767000000000002</v>
      </c>
      <c r="E75" s="7">
        <f ca="1">[1]!b_calc_curve_chinabond("1082",E$1,$B75)</f>
        <v>0</v>
      </c>
      <c r="F75" s="7">
        <f ca="1">[1]!b_calc_curve_chinabond("1082",F$1,$B75)</f>
        <v>0</v>
      </c>
      <c r="G75" s="7">
        <f ca="1">[1]!b_calc_curve_chinabond("1082",G$1,$B75)</f>
        <v>2.0722</v>
      </c>
      <c r="H75" s="7">
        <f ca="1">[1]!b_calc_curve_chinabond("1082",H$1,$B75)</f>
        <v>2.0688</v>
      </c>
      <c r="I75" s="7">
        <f ca="1">[1]!b_calc_curve_chinabond("1082",I$1,$B75)</f>
        <v>2.0644999999999998</v>
      </c>
      <c r="J75" s="7">
        <f ca="1">[1]!b_calc_curve_chinabond("1082",J$1,$B75)</f>
        <v>2.0565000000000002</v>
      </c>
      <c r="K75" s="7">
        <f ca="1">[1]!b_calc_curve_chinabond("1082",K$1,$B75)</f>
        <v>2.0464000000000002</v>
      </c>
      <c r="L75" s="7">
        <f ca="1">[1]!b_calc_curve_chinabond("1082",L$1,$B75)</f>
        <v>0</v>
      </c>
      <c r="M75" s="7">
        <f ca="1">[1]!b_calc_curve_chinabond("1082",M$1,$B75)</f>
        <v>0</v>
      </c>
      <c r="N75" s="7">
        <f ca="1">[1]!b_calc_curve_chinabond("1082",N$1,$B75)</f>
        <v>2.0314000000000001</v>
      </c>
      <c r="O75" s="7">
        <f ca="1">[1]!b_calc_curve_chinabond("1082",O$1,$B75)</f>
        <v>2.0286</v>
      </c>
      <c r="P75" s="7">
        <f ca="1">[1]!b_calc_curve_chinabond("1082",P$1,$B75)</f>
        <v>2.0226999999999999</v>
      </c>
      <c r="Q75" s="7">
        <f ca="1">[1]!b_calc_curve_chinabond("1082",Q$1,$B75)</f>
        <v>2.0121000000000002</v>
      </c>
      <c r="R75" s="7">
        <f ca="1">[1]!b_calc_curve_chinabond("1082",R$1,$B75)</f>
        <v>2.0087999999999999</v>
      </c>
      <c r="S75" s="7">
        <f ca="1">[1]!b_calc_curve_chinabond("1082",S$1,$B75)</f>
        <v>0</v>
      </c>
      <c r="T75" s="7">
        <f ca="1">[1]!b_calc_curve_chinabond("1082",T$1,$B75)</f>
        <v>0</v>
      </c>
      <c r="U75" s="7">
        <f ca="1">[1]!b_calc_curve_chinabond("1082",U$1,$B75)</f>
        <v>2.0213000000000001</v>
      </c>
      <c r="V75" s="7">
        <f ca="1">[1]!b_calc_curve_chinabond("1082",V$1,$B75)</f>
        <v>2.0377999999999998</v>
      </c>
      <c r="W75" s="7">
        <f ca="1">[1]!b_calc_curve_chinabond("1082",W$1,$B75)</f>
        <v>2.0508000000000002</v>
      </c>
      <c r="X75" s="7">
        <f ca="1">[1]!b_calc_curve_chinabond("1082",X$1,$B75)</f>
        <v>2.0537999999999998</v>
      </c>
      <c r="Y75" s="7">
        <f ca="1">[1]!b_calc_curve_chinabond("1082",Y$1,$B75)</f>
        <v>2.0747</v>
      </c>
      <c r="Z75" s="7">
        <f ca="1">[1]!b_calc_curve_chinabond("1082",Z$1,$B75)</f>
        <v>0</v>
      </c>
      <c r="AA75" s="7">
        <f ca="1">[1]!b_calc_curve_chinabond("1082",AA$1,$B75)</f>
        <v>0</v>
      </c>
      <c r="AB75" s="7">
        <f ca="1">[1]!b_calc_curve_chinabond("1082",AB$1,$B75)</f>
        <v>2.077</v>
      </c>
      <c r="AC75" s="7">
        <f ca="1">[1]!b_calc_curve_chinabond("1082",AC$1,$B75)</f>
        <v>2.073</v>
      </c>
      <c r="AD75" s="7">
        <f ca="1">[1]!b_calc_curve_chinabond("1082",AD$1,$B75)</f>
        <v>2.0655999999999999</v>
      </c>
      <c r="AE75" s="7">
        <f ca="1">[1]!b_calc_curve_chinabond("1082",AE$1,$B75)</f>
        <v>2.0638000000000001</v>
      </c>
      <c r="AF75" s="7">
        <f ca="1">[1]!b_calc_curve_chinabond("1082",AF$1,$B75)</f>
        <v>0</v>
      </c>
      <c r="AG75" s="7">
        <f ca="1">[1]!b_calc_curve_chinabond("1082",AG$1,$B75)</f>
        <v>0</v>
      </c>
      <c r="AH75" s="7">
        <f ca="1">[1]!b_calc_curve_chinabond("1082",AH$1,$B75)</f>
        <v>0</v>
      </c>
      <c r="AI75" s="7">
        <f ca="1">[1]!b_calc_curve_chinabond("1082",AI$1,$B75)</f>
        <v>0</v>
      </c>
    </row>
    <row r="76" spans="1:35" ht="19.5" customHeight="1">
      <c r="A76" s="1" t="s">
        <v>76</v>
      </c>
      <c r="B76" s="2">
        <v>6.8</v>
      </c>
      <c r="C76" s="7">
        <f ca="1">[1]!b_calc_curve_chinabond("1082",C$1,$B76)</f>
        <v>2.0922999999999998</v>
      </c>
      <c r="D76" s="7">
        <f ca="1">[1]!b_calc_curve_chinabond("1082",D$1,$B76)</f>
        <v>2.0863999999999998</v>
      </c>
      <c r="E76" s="7">
        <f ca="1">[1]!b_calc_curve_chinabond("1082",E$1,$B76)</f>
        <v>0</v>
      </c>
      <c r="F76" s="7">
        <f ca="1">[1]!b_calc_curve_chinabond("1082",F$1,$B76)</f>
        <v>0</v>
      </c>
      <c r="G76" s="7">
        <f ca="1">[1]!b_calc_curve_chinabond("1082",G$1,$B76)</f>
        <v>2.0819000000000001</v>
      </c>
      <c r="H76" s="7">
        <f ca="1">[1]!b_calc_curve_chinabond("1082",H$1,$B76)</f>
        <v>2.0781999999999998</v>
      </c>
      <c r="I76" s="7">
        <f ca="1">[1]!b_calc_curve_chinabond("1082",I$1,$B76)</f>
        <v>2.0741999999999998</v>
      </c>
      <c r="J76" s="7">
        <f ca="1">[1]!b_calc_curve_chinabond("1082",J$1,$B76)</f>
        <v>2.0655000000000001</v>
      </c>
      <c r="K76" s="7">
        <f ca="1">[1]!b_calc_curve_chinabond("1082",K$1,$B76)</f>
        <v>2.0594000000000001</v>
      </c>
      <c r="L76" s="7">
        <f ca="1">[1]!b_calc_curve_chinabond("1082",L$1,$B76)</f>
        <v>0</v>
      </c>
      <c r="M76" s="7">
        <f ca="1">[1]!b_calc_curve_chinabond("1082",M$1,$B76)</f>
        <v>0</v>
      </c>
      <c r="N76" s="7">
        <f ca="1">[1]!b_calc_curve_chinabond("1082",N$1,$B76)</f>
        <v>2.0463</v>
      </c>
      <c r="O76" s="7">
        <f ca="1">[1]!b_calc_curve_chinabond("1082",O$1,$B76)</f>
        <v>2.0444</v>
      </c>
      <c r="P76" s="7">
        <f ca="1">[1]!b_calc_curve_chinabond("1082",P$1,$B76)</f>
        <v>2.0375000000000001</v>
      </c>
      <c r="Q76" s="7">
        <f ca="1">[1]!b_calc_curve_chinabond("1082",Q$1,$B76)</f>
        <v>2.0268999999999999</v>
      </c>
      <c r="R76" s="7">
        <f ca="1">[1]!b_calc_curve_chinabond("1082",R$1,$B76)</f>
        <v>2.024</v>
      </c>
      <c r="S76" s="7">
        <f ca="1">[1]!b_calc_curve_chinabond("1082",S$1,$B76)</f>
        <v>0</v>
      </c>
      <c r="T76" s="7">
        <f ca="1">[1]!b_calc_curve_chinabond("1082",T$1,$B76)</f>
        <v>0</v>
      </c>
      <c r="U76" s="7">
        <f ca="1">[1]!b_calc_curve_chinabond("1082",U$1,$B76)</f>
        <v>2.0352000000000001</v>
      </c>
      <c r="V76" s="7">
        <f ca="1">[1]!b_calc_curve_chinabond("1082",V$1,$B76)</f>
        <v>2.0554000000000001</v>
      </c>
      <c r="W76" s="7">
        <f ca="1">[1]!b_calc_curve_chinabond("1082",W$1,$B76)</f>
        <v>2.0678000000000001</v>
      </c>
      <c r="X76" s="7">
        <f ca="1">[1]!b_calc_curve_chinabond("1082",X$1,$B76)</f>
        <v>2.0709</v>
      </c>
      <c r="Y76" s="7">
        <f ca="1">[1]!b_calc_curve_chinabond("1082",Y$1,$B76)</f>
        <v>2.0905</v>
      </c>
      <c r="Z76" s="7">
        <f ca="1">[1]!b_calc_curve_chinabond("1082",Z$1,$B76)</f>
        <v>0</v>
      </c>
      <c r="AA76" s="7">
        <f ca="1">[1]!b_calc_curve_chinabond("1082",AA$1,$B76)</f>
        <v>0</v>
      </c>
      <c r="AB76" s="7">
        <f ca="1">[1]!b_calc_curve_chinabond("1082",AB$1,$B76)</f>
        <v>2.0929000000000002</v>
      </c>
      <c r="AC76" s="7">
        <f ca="1">[1]!b_calc_curve_chinabond("1082",AC$1,$B76)</f>
        <v>2.089</v>
      </c>
      <c r="AD76" s="7">
        <f ca="1">[1]!b_calc_curve_chinabond("1082",AD$1,$B76)</f>
        <v>2.0804999999999998</v>
      </c>
      <c r="AE76" s="7">
        <f ca="1">[1]!b_calc_curve_chinabond("1082",AE$1,$B76)</f>
        <v>2.0798999999999999</v>
      </c>
      <c r="AF76" s="7">
        <f ca="1">[1]!b_calc_curve_chinabond("1082",AF$1,$B76)</f>
        <v>0</v>
      </c>
      <c r="AG76" s="7">
        <f ca="1">[1]!b_calc_curve_chinabond("1082",AG$1,$B76)</f>
        <v>0</v>
      </c>
      <c r="AH76" s="7">
        <f ca="1">[1]!b_calc_curve_chinabond("1082",AH$1,$B76)</f>
        <v>0</v>
      </c>
      <c r="AI76" s="7">
        <f ca="1">[1]!b_calc_curve_chinabond("1082",AI$1,$B76)</f>
        <v>0</v>
      </c>
    </row>
    <row r="77" spans="1:35" ht="19.5" customHeight="1">
      <c r="A77" s="3" t="s">
        <v>77</v>
      </c>
      <c r="B77" s="4">
        <v>6.9</v>
      </c>
      <c r="C77" s="7">
        <f ca="1">[1]!b_calc_curve_chinabond("1082",C$1,$B77)</f>
        <v>2.1021000000000001</v>
      </c>
      <c r="D77" s="7">
        <f ca="1">[1]!b_calc_curve_chinabond("1082",D$1,$B77)</f>
        <v>2.0962999999999998</v>
      </c>
      <c r="E77" s="7">
        <f ca="1">[1]!b_calc_curve_chinabond("1082",E$1,$B77)</f>
        <v>0</v>
      </c>
      <c r="F77" s="7">
        <f ca="1">[1]!b_calc_curve_chinabond("1082",F$1,$B77)</f>
        <v>0</v>
      </c>
      <c r="G77" s="7">
        <f ca="1">[1]!b_calc_curve_chinabond("1082",G$1,$B77)</f>
        <v>2.0916999999999999</v>
      </c>
      <c r="H77" s="7">
        <f ca="1">[1]!b_calc_curve_chinabond("1082",H$1,$B77)</f>
        <v>2.0876999999999999</v>
      </c>
      <c r="I77" s="7">
        <f ca="1">[1]!b_calc_curve_chinabond("1082",I$1,$B77)</f>
        <v>2.0840999999999998</v>
      </c>
      <c r="J77" s="7">
        <f ca="1">[1]!b_calc_curve_chinabond("1082",J$1,$B77)</f>
        <v>2.0747</v>
      </c>
      <c r="K77" s="7">
        <f ca="1">[1]!b_calc_curve_chinabond("1082",K$1,$B77)</f>
        <v>2.0724</v>
      </c>
      <c r="L77" s="7">
        <f ca="1">[1]!b_calc_curve_chinabond("1082",L$1,$B77)</f>
        <v>0</v>
      </c>
      <c r="M77" s="7">
        <f ca="1">[1]!b_calc_curve_chinabond("1082",M$1,$B77)</f>
        <v>0</v>
      </c>
      <c r="N77" s="7">
        <f ca="1">[1]!b_calc_curve_chinabond("1082",N$1,$B77)</f>
        <v>2.0608</v>
      </c>
      <c r="O77" s="7">
        <f ca="1">[1]!b_calc_curve_chinabond("1082",O$1,$B77)</f>
        <v>2.0598000000000001</v>
      </c>
      <c r="P77" s="7">
        <f ca="1">[1]!b_calc_curve_chinabond("1082",P$1,$B77)</f>
        <v>2.052</v>
      </c>
      <c r="Q77" s="7">
        <f ca="1">[1]!b_calc_curve_chinabond("1082",Q$1,$B77)</f>
        <v>2.0413000000000001</v>
      </c>
      <c r="R77" s="7">
        <f ca="1">[1]!b_calc_curve_chinabond("1082",R$1,$B77)</f>
        <v>2.0388999999999999</v>
      </c>
      <c r="S77" s="7">
        <f ca="1">[1]!b_calc_curve_chinabond("1082",S$1,$B77)</f>
        <v>0</v>
      </c>
      <c r="T77" s="7">
        <f ca="1">[1]!b_calc_curve_chinabond("1082",T$1,$B77)</f>
        <v>0</v>
      </c>
      <c r="U77" s="7">
        <f ca="1">[1]!b_calc_curve_chinabond("1082",U$1,$B77)</f>
        <v>2.0489999999999999</v>
      </c>
      <c r="V77" s="7">
        <f ca="1">[1]!b_calc_curve_chinabond("1082",V$1,$B77)</f>
        <v>2.0724</v>
      </c>
      <c r="W77" s="7">
        <f ca="1">[1]!b_calc_curve_chinabond("1082",W$1,$B77)</f>
        <v>2.0842999999999998</v>
      </c>
      <c r="X77" s="7">
        <f ca="1">[1]!b_calc_curve_chinabond("1082",X$1,$B77)</f>
        <v>2.0874000000000001</v>
      </c>
      <c r="Y77" s="7">
        <f ca="1">[1]!b_calc_curve_chinabond("1082",Y$1,$B77)</f>
        <v>2.1057999999999999</v>
      </c>
      <c r="Z77" s="7">
        <f ca="1">[1]!b_calc_curve_chinabond("1082",Z$1,$B77)</f>
        <v>0</v>
      </c>
      <c r="AA77" s="7">
        <f ca="1">[1]!b_calc_curve_chinabond("1082",AA$1,$B77)</f>
        <v>0</v>
      </c>
      <c r="AB77" s="7">
        <f ca="1">[1]!b_calc_curve_chinabond("1082",AB$1,$B77)</f>
        <v>2.1084000000000001</v>
      </c>
      <c r="AC77" s="7">
        <f ca="1">[1]!b_calc_curve_chinabond("1082",AC$1,$B77)</f>
        <v>2.1044999999999998</v>
      </c>
      <c r="AD77" s="7">
        <f ca="1">[1]!b_calc_curve_chinabond("1082",AD$1,$B77)</f>
        <v>2.0950000000000002</v>
      </c>
      <c r="AE77" s="7">
        <f ca="1">[1]!b_calc_curve_chinabond("1082",AE$1,$B77)</f>
        <v>2.0954999999999999</v>
      </c>
      <c r="AF77" s="7">
        <f ca="1">[1]!b_calc_curve_chinabond("1082",AF$1,$B77)</f>
        <v>0</v>
      </c>
      <c r="AG77" s="7">
        <f ca="1">[1]!b_calc_curve_chinabond("1082",AG$1,$B77)</f>
        <v>0</v>
      </c>
      <c r="AH77" s="7">
        <f ca="1">[1]!b_calc_curve_chinabond("1082",AH$1,$B77)</f>
        <v>0</v>
      </c>
      <c r="AI77" s="7">
        <f ca="1">[1]!b_calc_curve_chinabond("1082",AI$1,$B77)</f>
        <v>0</v>
      </c>
    </row>
    <row r="78" spans="1:35" ht="19.5" customHeight="1">
      <c r="A78" s="1" t="s">
        <v>78</v>
      </c>
      <c r="B78" s="2">
        <v>7</v>
      </c>
      <c r="C78" s="7">
        <f ca="1">[1]!b_calc_curve_chinabond("1082",C$1,$B78)</f>
        <v>2.1120999999999999</v>
      </c>
      <c r="D78" s="7">
        <f ca="1">[1]!b_calc_curve_chinabond("1082",D$1,$B78)</f>
        <v>2.1063000000000001</v>
      </c>
      <c r="E78" s="7">
        <f ca="1">[1]!b_calc_curve_chinabond("1082",E$1,$B78)</f>
        <v>0</v>
      </c>
      <c r="F78" s="7">
        <f ca="1">[1]!b_calc_curve_chinabond("1082",F$1,$B78)</f>
        <v>0</v>
      </c>
      <c r="G78" s="7">
        <f ca="1">[1]!b_calc_curve_chinabond("1082",G$1,$B78)</f>
        <v>2.1015999999999999</v>
      </c>
      <c r="H78" s="7">
        <f ca="1">[1]!b_calc_curve_chinabond("1082",H$1,$B78)</f>
        <v>2.0975999999999999</v>
      </c>
      <c r="I78" s="7">
        <f ca="1">[1]!b_calc_curve_chinabond("1082",I$1,$B78)</f>
        <v>2.0943000000000001</v>
      </c>
      <c r="J78" s="7">
        <f ca="1">[1]!b_calc_curve_chinabond("1082",J$1,$B78)</f>
        <v>2.0842999999999998</v>
      </c>
      <c r="K78" s="7">
        <f ca="1">[1]!b_calc_curve_chinabond("1082",K$1,$B78)</f>
        <v>2.0851000000000002</v>
      </c>
      <c r="L78" s="7">
        <f ca="1">[1]!b_calc_curve_chinabond("1082",L$1,$B78)</f>
        <v>0</v>
      </c>
      <c r="M78" s="7">
        <f ca="1">[1]!b_calc_curve_chinabond("1082",M$1,$B78)</f>
        <v>0</v>
      </c>
      <c r="N78" s="7">
        <f ca="1">[1]!b_calc_curve_chinabond("1082",N$1,$B78)</f>
        <v>2.0747</v>
      </c>
      <c r="O78" s="7">
        <f ca="1">[1]!b_calc_curve_chinabond("1082",O$1,$B78)</f>
        <v>2.0741000000000001</v>
      </c>
      <c r="P78" s="7">
        <f ca="1">[1]!b_calc_curve_chinabond("1082",P$1,$B78)</f>
        <v>2.0659999999999998</v>
      </c>
      <c r="Q78" s="7">
        <f ca="1">[1]!b_calc_curve_chinabond("1082",Q$1,$B78)</f>
        <v>2.0552999999999999</v>
      </c>
      <c r="R78" s="7">
        <f ca="1">[1]!b_calc_curve_chinabond("1082",R$1,$B78)</f>
        <v>2.0533000000000001</v>
      </c>
      <c r="S78" s="7">
        <f ca="1">[1]!b_calc_curve_chinabond("1082",S$1,$B78)</f>
        <v>0</v>
      </c>
      <c r="T78" s="7">
        <f ca="1">[1]!b_calc_curve_chinabond("1082",T$1,$B78)</f>
        <v>0</v>
      </c>
      <c r="U78" s="7">
        <f ca="1">[1]!b_calc_curve_chinabond("1082",U$1,$B78)</f>
        <v>2.0625</v>
      </c>
      <c r="V78" s="7">
        <f ca="1">[1]!b_calc_curve_chinabond("1082",V$1,$B78)</f>
        <v>2.0884999999999998</v>
      </c>
      <c r="W78" s="7">
        <f ca="1">[1]!b_calc_curve_chinabond("1082",W$1,$B78)</f>
        <v>2.1</v>
      </c>
      <c r="X78" s="7">
        <f ca="1">[1]!b_calc_curve_chinabond("1082",X$1,$B78)</f>
        <v>2.1027999999999998</v>
      </c>
      <c r="Y78" s="7">
        <f ca="1">[1]!b_calc_curve_chinabond("1082",Y$1,$B78)</f>
        <v>2.1202999999999999</v>
      </c>
      <c r="Z78" s="7">
        <f ca="1">[1]!b_calc_curve_chinabond("1082",Z$1,$B78)</f>
        <v>0</v>
      </c>
      <c r="AA78" s="7">
        <f ca="1">[1]!b_calc_curve_chinabond("1082",AA$1,$B78)</f>
        <v>0</v>
      </c>
      <c r="AB78" s="7">
        <f ca="1">[1]!b_calc_curve_chinabond("1082",AB$1,$B78)</f>
        <v>2.1231</v>
      </c>
      <c r="AC78" s="7">
        <f ca="1">[1]!b_calc_curve_chinabond("1082",AC$1,$B78)</f>
        <v>2.1191</v>
      </c>
      <c r="AD78" s="7">
        <f ca="1">[1]!b_calc_curve_chinabond("1082",AD$1,$B78)</f>
        <v>2.1089000000000002</v>
      </c>
      <c r="AE78" s="7">
        <f ca="1">[1]!b_calc_curve_chinabond("1082",AE$1,$B78)</f>
        <v>2.1103000000000001</v>
      </c>
      <c r="AF78" s="7">
        <f ca="1">[1]!b_calc_curve_chinabond("1082",AF$1,$B78)</f>
        <v>0</v>
      </c>
      <c r="AG78" s="7">
        <f ca="1">[1]!b_calc_curve_chinabond("1082",AG$1,$B78)</f>
        <v>0</v>
      </c>
      <c r="AH78" s="7">
        <f ca="1">[1]!b_calc_curve_chinabond("1082",AH$1,$B78)</f>
        <v>0</v>
      </c>
      <c r="AI78" s="7">
        <f ca="1">[1]!b_calc_curve_chinabond("1082",AI$1,$B78)</f>
        <v>0</v>
      </c>
    </row>
    <row r="79" spans="1:35" ht="19.5" customHeight="1">
      <c r="A79" s="3" t="s">
        <v>79</v>
      </c>
      <c r="B79" s="4">
        <v>7.1</v>
      </c>
      <c r="C79" s="7">
        <f ca="1">[1]!b_calc_curve_chinabond("1082",C$1,$B79)</f>
        <v>2.1219000000000001</v>
      </c>
      <c r="D79" s="7">
        <f ca="1">[1]!b_calc_curve_chinabond("1082",D$1,$B79)</f>
        <v>2.1160000000000001</v>
      </c>
      <c r="E79" s="7">
        <f ca="1">[1]!b_calc_curve_chinabond("1082",E$1,$B79)</f>
        <v>0</v>
      </c>
      <c r="F79" s="7">
        <f ca="1">[1]!b_calc_curve_chinabond("1082",F$1,$B79)</f>
        <v>0</v>
      </c>
      <c r="G79" s="7">
        <f ca="1">[1]!b_calc_curve_chinabond("1082",G$1,$B79)</f>
        <v>2.1114000000000002</v>
      </c>
      <c r="H79" s="7">
        <f ca="1">[1]!b_calc_curve_chinabond("1082",H$1,$B79)</f>
        <v>2.1070000000000002</v>
      </c>
      <c r="I79" s="7">
        <f ca="1">[1]!b_calc_curve_chinabond("1082",I$1,$B79)</f>
        <v>2.1040000000000001</v>
      </c>
      <c r="J79" s="7">
        <f ca="1">[1]!b_calc_curve_chinabond("1082",J$1,$B79)</f>
        <v>2.0935999999999999</v>
      </c>
      <c r="K79" s="7">
        <f ca="1">[1]!b_calc_curve_chinabond("1082",K$1,$B79)</f>
        <v>2.0964</v>
      </c>
      <c r="L79" s="7">
        <f ca="1">[1]!b_calc_curve_chinabond("1082",L$1,$B79)</f>
        <v>0</v>
      </c>
      <c r="M79" s="7">
        <f ca="1">[1]!b_calc_curve_chinabond("1082",M$1,$B79)</f>
        <v>0</v>
      </c>
      <c r="N79" s="7">
        <f ca="1">[1]!b_calc_curve_chinabond("1082",N$1,$B79)</f>
        <v>2.0868000000000002</v>
      </c>
      <c r="O79" s="7">
        <f ca="1">[1]!b_calc_curve_chinabond("1082",O$1,$B79)</f>
        <v>2.0863</v>
      </c>
      <c r="P79" s="7">
        <f ca="1">[1]!b_calc_curve_chinabond("1082",P$1,$B79)</f>
        <v>2.0779000000000001</v>
      </c>
      <c r="Q79" s="7">
        <f ca="1">[1]!b_calc_curve_chinabond("1082",Q$1,$B79)</f>
        <v>2.0676000000000001</v>
      </c>
      <c r="R79" s="7">
        <f ca="1">[1]!b_calc_curve_chinabond("1082",R$1,$B79)</f>
        <v>2.0657999999999999</v>
      </c>
      <c r="S79" s="7">
        <f ca="1">[1]!b_calc_curve_chinabond("1082",S$1,$B79)</f>
        <v>0</v>
      </c>
      <c r="T79" s="7">
        <f ca="1">[1]!b_calc_curve_chinabond("1082",T$1,$B79)</f>
        <v>0</v>
      </c>
      <c r="U79" s="7">
        <f ca="1">[1]!b_calc_curve_chinabond("1082",U$1,$B79)</f>
        <v>2.0745</v>
      </c>
      <c r="V79" s="7">
        <f ca="1">[1]!b_calc_curve_chinabond("1082",V$1,$B79)</f>
        <v>2.1023999999999998</v>
      </c>
      <c r="W79" s="7">
        <f ca="1">[1]!b_calc_curve_chinabond("1082",W$1,$B79)</f>
        <v>2.1135999999999999</v>
      </c>
      <c r="X79" s="7">
        <f ca="1">[1]!b_calc_curve_chinabond("1082",X$1,$B79)</f>
        <v>2.1162999999999998</v>
      </c>
      <c r="Y79" s="7">
        <f ca="1">[1]!b_calc_curve_chinabond("1082",Y$1,$B79)</f>
        <v>2.1332</v>
      </c>
      <c r="Z79" s="7">
        <f ca="1">[1]!b_calc_curve_chinabond("1082",Z$1,$B79)</f>
        <v>0</v>
      </c>
      <c r="AA79" s="7">
        <f ca="1">[1]!b_calc_curve_chinabond("1082",AA$1,$B79)</f>
        <v>0</v>
      </c>
      <c r="AB79" s="7">
        <f ca="1">[1]!b_calc_curve_chinabond("1082",AB$1,$B79)</f>
        <v>2.1360000000000001</v>
      </c>
      <c r="AC79" s="7">
        <f ca="1">[1]!b_calc_curve_chinabond("1082",AC$1,$B79)</f>
        <v>2.1318999999999999</v>
      </c>
      <c r="AD79" s="7">
        <f ca="1">[1]!b_calc_curve_chinabond("1082",AD$1,$B79)</f>
        <v>2.1211000000000002</v>
      </c>
      <c r="AE79" s="7">
        <f ca="1">[1]!b_calc_curve_chinabond("1082",AE$1,$B79)</f>
        <v>2.1231</v>
      </c>
      <c r="AF79" s="7">
        <f ca="1">[1]!b_calc_curve_chinabond("1082",AF$1,$B79)</f>
        <v>0</v>
      </c>
      <c r="AG79" s="7">
        <f ca="1">[1]!b_calc_curve_chinabond("1082",AG$1,$B79)</f>
        <v>0</v>
      </c>
      <c r="AH79" s="7">
        <f ca="1">[1]!b_calc_curve_chinabond("1082",AH$1,$B79)</f>
        <v>0</v>
      </c>
      <c r="AI79" s="7">
        <f ca="1">[1]!b_calc_curve_chinabond("1082",AI$1,$B79)</f>
        <v>0</v>
      </c>
    </row>
    <row r="80" spans="1:35" ht="19.5" customHeight="1">
      <c r="A80" s="1" t="s">
        <v>80</v>
      </c>
      <c r="B80" s="2">
        <v>7.2</v>
      </c>
      <c r="C80" s="7">
        <f ca="1">[1]!b_calc_curve_chinabond("1082",C$1,$B80)</f>
        <v>2.1309999999999998</v>
      </c>
      <c r="D80" s="7">
        <f ca="1">[1]!b_calc_curve_chinabond("1082",D$1,$B80)</f>
        <v>2.125</v>
      </c>
      <c r="E80" s="7">
        <f ca="1">[1]!b_calc_curve_chinabond("1082",E$1,$B80)</f>
        <v>0</v>
      </c>
      <c r="F80" s="7">
        <f ca="1">[1]!b_calc_curve_chinabond("1082",F$1,$B80)</f>
        <v>0</v>
      </c>
      <c r="G80" s="7">
        <f ca="1">[1]!b_calc_curve_chinabond("1082",G$1,$B80)</f>
        <v>2.1204999999999998</v>
      </c>
      <c r="H80" s="7">
        <f ca="1">[1]!b_calc_curve_chinabond("1082",H$1,$B80)</f>
        <v>2.1151</v>
      </c>
      <c r="I80" s="7">
        <f ca="1">[1]!b_calc_curve_chinabond("1082",I$1,$B80)</f>
        <v>2.1124000000000001</v>
      </c>
      <c r="J80" s="7">
        <f ca="1">[1]!b_calc_curve_chinabond("1082",J$1,$B80)</f>
        <v>2.1019999999999999</v>
      </c>
      <c r="K80" s="7">
        <f ca="1">[1]!b_calc_curve_chinabond("1082",K$1,$B80)</f>
        <v>2.1053000000000002</v>
      </c>
      <c r="L80" s="7">
        <f ca="1">[1]!b_calc_curve_chinabond("1082",L$1,$B80)</f>
        <v>0</v>
      </c>
      <c r="M80" s="7">
        <f ca="1">[1]!b_calc_curve_chinabond("1082",M$1,$B80)</f>
        <v>0</v>
      </c>
      <c r="N80" s="7">
        <f ca="1">[1]!b_calc_curve_chinabond("1082",N$1,$B80)</f>
        <v>2.0964</v>
      </c>
      <c r="O80" s="7">
        <f ca="1">[1]!b_calc_curve_chinabond("1082",O$1,$B80)</f>
        <v>2.0954000000000002</v>
      </c>
      <c r="P80" s="7">
        <f ca="1">[1]!b_calc_curve_chinabond("1082",P$1,$B80)</f>
        <v>2.0869</v>
      </c>
      <c r="Q80" s="7">
        <f ca="1">[1]!b_calc_curve_chinabond("1082",Q$1,$B80)</f>
        <v>2.0773000000000001</v>
      </c>
      <c r="R80" s="7">
        <f ca="1">[1]!b_calc_curve_chinabond("1082",R$1,$B80)</f>
        <v>2.0752999999999999</v>
      </c>
      <c r="S80" s="7">
        <f ca="1">[1]!b_calc_curve_chinabond("1082",S$1,$B80)</f>
        <v>0</v>
      </c>
      <c r="T80" s="7">
        <f ca="1">[1]!b_calc_curve_chinabond("1082",T$1,$B80)</f>
        <v>0</v>
      </c>
      <c r="U80" s="7">
        <f ca="1">[1]!b_calc_curve_chinabond("1082",U$1,$B80)</f>
        <v>2.0842999999999998</v>
      </c>
      <c r="V80" s="7">
        <f ca="1">[1]!b_calc_curve_chinabond("1082",V$1,$B80)</f>
        <v>2.1131000000000002</v>
      </c>
      <c r="W80" s="7">
        <f ca="1">[1]!b_calc_curve_chinabond("1082",W$1,$B80)</f>
        <v>2.1246</v>
      </c>
      <c r="X80" s="7">
        <f ca="1">[1]!b_calc_curve_chinabond("1082",X$1,$B80)</f>
        <v>2.1278999999999999</v>
      </c>
      <c r="Y80" s="7">
        <f ca="1">[1]!b_calc_curve_chinabond("1082",Y$1,$B80)</f>
        <v>2.1440000000000001</v>
      </c>
      <c r="Z80" s="7">
        <f ca="1">[1]!b_calc_curve_chinabond("1082",Z$1,$B80)</f>
        <v>0</v>
      </c>
      <c r="AA80" s="7">
        <f ca="1">[1]!b_calc_curve_chinabond("1082",AA$1,$B80)</f>
        <v>0</v>
      </c>
      <c r="AB80" s="7">
        <f ca="1">[1]!b_calc_curve_chinabond("1082",AB$1,$B80)</f>
        <v>2.1465999999999998</v>
      </c>
      <c r="AC80" s="7">
        <f ca="1">[1]!b_calc_curve_chinabond("1082",AC$1,$B80)</f>
        <v>2.1423000000000001</v>
      </c>
      <c r="AD80" s="7">
        <f ca="1">[1]!b_calc_curve_chinabond("1082",AD$1,$B80)</f>
        <v>2.1314000000000002</v>
      </c>
      <c r="AE80" s="7">
        <f ca="1">[1]!b_calc_curve_chinabond("1082",AE$1,$B80)</f>
        <v>2.1332</v>
      </c>
      <c r="AF80" s="7">
        <f ca="1">[1]!b_calc_curve_chinabond("1082",AF$1,$B80)</f>
        <v>0</v>
      </c>
      <c r="AG80" s="7">
        <f ca="1">[1]!b_calc_curve_chinabond("1082",AG$1,$B80)</f>
        <v>0</v>
      </c>
      <c r="AH80" s="7">
        <f ca="1">[1]!b_calc_curve_chinabond("1082",AH$1,$B80)</f>
        <v>0</v>
      </c>
      <c r="AI80" s="7">
        <f ca="1">[1]!b_calc_curve_chinabond("1082",AI$1,$B80)</f>
        <v>0</v>
      </c>
    </row>
    <row r="81" spans="1:35" ht="19.5" customHeight="1">
      <c r="A81" s="3" t="s">
        <v>81</v>
      </c>
      <c r="B81" s="4">
        <v>7.3</v>
      </c>
      <c r="C81" s="7">
        <f ca="1">[1]!b_calc_curve_chinabond("1082",C$1,$B81)</f>
        <v>2.1396000000000002</v>
      </c>
      <c r="D81" s="7">
        <f ca="1">[1]!b_calc_curve_chinabond("1082",D$1,$B81)</f>
        <v>2.1333000000000002</v>
      </c>
      <c r="E81" s="7">
        <f ca="1">[1]!b_calc_curve_chinabond("1082",E$1,$B81)</f>
        <v>0</v>
      </c>
      <c r="F81" s="7">
        <f ca="1">[1]!b_calc_curve_chinabond("1082",F$1,$B81)</f>
        <v>0</v>
      </c>
      <c r="G81" s="7">
        <f ca="1">[1]!b_calc_curve_chinabond("1082",G$1,$B81)</f>
        <v>2.1292</v>
      </c>
      <c r="H81" s="7">
        <f ca="1">[1]!b_calc_curve_chinabond("1082",H$1,$B81)</f>
        <v>2.1221000000000001</v>
      </c>
      <c r="I81" s="7">
        <f ca="1">[1]!b_calc_curve_chinabond("1082",I$1,$B81)</f>
        <v>2.1198000000000001</v>
      </c>
      <c r="J81" s="7">
        <f ca="1">[1]!b_calc_curve_chinabond("1082",J$1,$B81)</f>
        <v>2.1095000000000002</v>
      </c>
      <c r="K81" s="7">
        <f ca="1">[1]!b_calc_curve_chinabond("1082",K$1,$B81)</f>
        <v>2.1122999999999998</v>
      </c>
      <c r="L81" s="7">
        <f ca="1">[1]!b_calc_curve_chinabond("1082",L$1,$B81)</f>
        <v>0</v>
      </c>
      <c r="M81" s="7">
        <f ca="1">[1]!b_calc_curve_chinabond("1082",M$1,$B81)</f>
        <v>0</v>
      </c>
      <c r="N81" s="7">
        <f ca="1">[1]!b_calc_curve_chinabond("1082",N$1,$B81)</f>
        <v>2.1038999999999999</v>
      </c>
      <c r="O81" s="7">
        <f ca="1">[1]!b_calc_curve_chinabond("1082",O$1,$B81)</f>
        <v>2.1019999999999999</v>
      </c>
      <c r="P81" s="7">
        <f ca="1">[1]!b_calc_curve_chinabond("1082",P$1,$B81)</f>
        <v>2.0933999999999999</v>
      </c>
      <c r="Q81" s="7">
        <f ca="1">[1]!b_calc_curve_chinabond("1082",Q$1,$B81)</f>
        <v>2.085</v>
      </c>
      <c r="R81" s="7">
        <f ca="1">[1]!b_calc_curve_chinabond("1082",R$1,$B81)</f>
        <v>2.0823</v>
      </c>
      <c r="S81" s="7">
        <f ca="1">[1]!b_calc_curve_chinabond("1082",S$1,$B81)</f>
        <v>0</v>
      </c>
      <c r="T81" s="7">
        <f ca="1">[1]!b_calc_curve_chinabond("1082",T$1,$B81)</f>
        <v>0</v>
      </c>
      <c r="U81" s="7">
        <f ca="1">[1]!b_calc_curve_chinabond("1082",U$1,$B81)</f>
        <v>2.0922999999999998</v>
      </c>
      <c r="V81" s="7">
        <f ca="1">[1]!b_calc_curve_chinabond("1082",V$1,$B81)</f>
        <v>2.1214</v>
      </c>
      <c r="W81" s="7">
        <f ca="1">[1]!b_calc_curve_chinabond("1082",W$1,$B81)</f>
        <v>2.1334</v>
      </c>
      <c r="X81" s="7">
        <f ca="1">[1]!b_calc_curve_chinabond("1082",X$1,$B81)</f>
        <v>2.1377999999999999</v>
      </c>
      <c r="Y81" s="7">
        <f ca="1">[1]!b_calc_curve_chinabond("1082",Y$1,$B81)</f>
        <v>2.1532</v>
      </c>
      <c r="Z81" s="7">
        <f ca="1">[1]!b_calc_curve_chinabond("1082",Z$1,$B81)</f>
        <v>0</v>
      </c>
      <c r="AA81" s="7">
        <f ca="1">[1]!b_calc_curve_chinabond("1082",AA$1,$B81)</f>
        <v>0</v>
      </c>
      <c r="AB81" s="7">
        <f ca="1">[1]!b_calc_curve_chinabond("1082",AB$1,$B81)</f>
        <v>2.1553</v>
      </c>
      <c r="AC81" s="7">
        <f ca="1">[1]!b_calc_curve_chinabond("1082",AC$1,$B81)</f>
        <v>2.1505999999999998</v>
      </c>
      <c r="AD81" s="7">
        <f ca="1">[1]!b_calc_curve_chinabond("1082",AD$1,$B81)</f>
        <v>2.14</v>
      </c>
      <c r="AE81" s="7">
        <f ca="1">[1]!b_calc_curve_chinabond("1082",AE$1,$B81)</f>
        <v>2.1410999999999998</v>
      </c>
      <c r="AF81" s="7">
        <f ca="1">[1]!b_calc_curve_chinabond("1082",AF$1,$B81)</f>
        <v>0</v>
      </c>
      <c r="AG81" s="7">
        <f ca="1">[1]!b_calc_curve_chinabond("1082",AG$1,$B81)</f>
        <v>0</v>
      </c>
      <c r="AH81" s="7">
        <f ca="1">[1]!b_calc_curve_chinabond("1082",AH$1,$B81)</f>
        <v>0</v>
      </c>
      <c r="AI81" s="7">
        <f ca="1">[1]!b_calc_curve_chinabond("1082",AI$1,$B81)</f>
        <v>0</v>
      </c>
    </row>
    <row r="82" spans="1:35" ht="19.5" customHeight="1">
      <c r="A82" s="1" t="s">
        <v>82</v>
      </c>
      <c r="B82" s="2">
        <v>7.4</v>
      </c>
      <c r="C82" s="7">
        <f ca="1">[1]!b_calc_curve_chinabond("1082",C$1,$B82)</f>
        <v>2.1478000000000002</v>
      </c>
      <c r="D82" s="7">
        <f ca="1">[1]!b_calc_curve_chinabond("1082",D$1,$B82)</f>
        <v>2.1412</v>
      </c>
      <c r="E82" s="7">
        <f ca="1">[1]!b_calc_curve_chinabond("1082",E$1,$B82)</f>
        <v>0</v>
      </c>
      <c r="F82" s="7">
        <f ca="1">[1]!b_calc_curve_chinabond("1082",F$1,$B82)</f>
        <v>0</v>
      </c>
      <c r="G82" s="7">
        <f ca="1">[1]!b_calc_curve_chinabond("1082",G$1,$B82)</f>
        <v>2.1374</v>
      </c>
      <c r="H82" s="7">
        <f ca="1">[1]!b_calc_curve_chinabond("1082",H$1,$B82)</f>
        <v>2.1282999999999999</v>
      </c>
      <c r="I82" s="7">
        <f ca="1">[1]!b_calc_curve_chinabond("1082",I$1,$B82)</f>
        <v>2.1263999999999998</v>
      </c>
      <c r="J82" s="7">
        <f ca="1">[1]!b_calc_curve_chinabond("1082",J$1,$B82)</f>
        <v>2.1164000000000001</v>
      </c>
      <c r="K82" s="7">
        <f ca="1">[1]!b_calc_curve_chinabond("1082",K$1,$B82)</f>
        <v>2.1177999999999999</v>
      </c>
      <c r="L82" s="7">
        <f ca="1">[1]!b_calc_curve_chinabond("1082",L$1,$B82)</f>
        <v>0</v>
      </c>
      <c r="M82" s="7">
        <f ca="1">[1]!b_calc_curve_chinabond("1082",M$1,$B82)</f>
        <v>0</v>
      </c>
      <c r="N82" s="7">
        <f ca="1">[1]!b_calc_curve_chinabond("1082",N$1,$B82)</f>
        <v>2.1099000000000001</v>
      </c>
      <c r="O82" s="7">
        <f ca="1">[1]!b_calc_curve_chinabond("1082",O$1,$B82)</f>
        <v>2.1067</v>
      </c>
      <c r="P82" s="7">
        <f ca="1">[1]!b_calc_curve_chinabond("1082",P$1,$B82)</f>
        <v>2.0979999999999999</v>
      </c>
      <c r="Q82" s="7">
        <f ca="1">[1]!b_calc_curve_chinabond("1082",Q$1,$B82)</f>
        <v>2.0910000000000002</v>
      </c>
      <c r="R82" s="7">
        <f ca="1">[1]!b_calc_curve_chinabond("1082",R$1,$B82)</f>
        <v>2.0874000000000001</v>
      </c>
      <c r="S82" s="7">
        <f ca="1">[1]!b_calc_curve_chinabond("1082",S$1,$B82)</f>
        <v>0</v>
      </c>
      <c r="T82" s="7">
        <f ca="1">[1]!b_calc_curve_chinabond("1082",T$1,$B82)</f>
        <v>0</v>
      </c>
      <c r="U82" s="7">
        <f ca="1">[1]!b_calc_curve_chinabond("1082",U$1,$B82)</f>
        <v>2.0988000000000002</v>
      </c>
      <c r="V82" s="7">
        <f ca="1">[1]!b_calc_curve_chinabond("1082",V$1,$B82)</f>
        <v>2.1276999999999999</v>
      </c>
      <c r="W82" s="7">
        <f ca="1">[1]!b_calc_curve_chinabond("1082",W$1,$B82)</f>
        <v>2.1406000000000001</v>
      </c>
      <c r="X82" s="7">
        <f ca="1">[1]!b_calc_curve_chinabond("1082",X$1,$B82)</f>
        <v>2.1463999999999999</v>
      </c>
      <c r="Y82" s="7">
        <f ca="1">[1]!b_calc_curve_chinabond("1082",Y$1,$B82)</f>
        <v>2.1612</v>
      </c>
      <c r="Z82" s="7">
        <f ca="1">[1]!b_calc_curve_chinabond("1082",Z$1,$B82)</f>
        <v>0</v>
      </c>
      <c r="AA82" s="7">
        <f ca="1">[1]!b_calc_curve_chinabond("1082",AA$1,$B82)</f>
        <v>0</v>
      </c>
      <c r="AB82" s="7">
        <f ca="1">[1]!b_calc_curve_chinabond("1082",AB$1,$B82)</f>
        <v>2.1625000000000001</v>
      </c>
      <c r="AC82" s="7">
        <f ca="1">[1]!b_calc_curve_chinabond("1082",AC$1,$B82)</f>
        <v>2.1573000000000002</v>
      </c>
      <c r="AD82" s="7">
        <f ca="1">[1]!b_calc_curve_chinabond("1082",AD$1,$B82)</f>
        <v>2.1472000000000002</v>
      </c>
      <c r="AE82" s="7">
        <f ca="1">[1]!b_calc_curve_chinabond("1082",AE$1,$B82)</f>
        <v>2.1473</v>
      </c>
      <c r="AF82" s="7">
        <f ca="1">[1]!b_calc_curve_chinabond("1082",AF$1,$B82)</f>
        <v>0</v>
      </c>
      <c r="AG82" s="7">
        <f ca="1">[1]!b_calc_curve_chinabond("1082",AG$1,$B82)</f>
        <v>0</v>
      </c>
      <c r="AH82" s="7">
        <f ca="1">[1]!b_calc_curve_chinabond("1082",AH$1,$B82)</f>
        <v>0</v>
      </c>
      <c r="AI82" s="7">
        <f ca="1">[1]!b_calc_curve_chinabond("1082",AI$1,$B82)</f>
        <v>0</v>
      </c>
    </row>
    <row r="83" spans="1:35" ht="19.5" customHeight="1">
      <c r="A83" s="3" t="s">
        <v>83</v>
      </c>
      <c r="B83" s="4">
        <v>7.5</v>
      </c>
      <c r="C83" s="7">
        <f ca="1">[1]!b_calc_curve_chinabond("1082",C$1,$B83)</f>
        <v>2.1556999999999999</v>
      </c>
      <c r="D83" s="7">
        <f ca="1">[1]!b_calc_curve_chinabond("1082",D$1,$B83)</f>
        <v>2.1486999999999998</v>
      </c>
      <c r="E83" s="7">
        <f ca="1">[1]!b_calc_curve_chinabond("1082",E$1,$B83)</f>
        <v>0</v>
      </c>
      <c r="F83" s="7">
        <f ca="1">[1]!b_calc_curve_chinabond("1082",F$1,$B83)</f>
        <v>0</v>
      </c>
      <c r="G83" s="7">
        <f ca="1">[1]!b_calc_curve_chinabond("1082",G$1,$B83)</f>
        <v>2.1454</v>
      </c>
      <c r="H83" s="7">
        <f ca="1">[1]!b_calc_curve_chinabond("1082",H$1,$B83)</f>
        <v>2.1339999999999999</v>
      </c>
      <c r="I83" s="7">
        <f ca="1">[1]!b_calc_curve_chinabond("1082",I$1,$B83)</f>
        <v>2.1324999999999998</v>
      </c>
      <c r="J83" s="7">
        <f ca="1">[1]!b_calc_curve_chinabond("1082",J$1,$B83)</f>
        <v>2.1227999999999998</v>
      </c>
      <c r="K83" s="7">
        <f ca="1">[1]!b_calc_curve_chinabond("1082",K$1,$B83)</f>
        <v>2.1221999999999999</v>
      </c>
      <c r="L83" s="7">
        <f ca="1">[1]!b_calc_curve_chinabond("1082",L$1,$B83)</f>
        <v>0</v>
      </c>
      <c r="M83" s="7">
        <f ca="1">[1]!b_calc_curve_chinabond("1082",M$1,$B83)</f>
        <v>0</v>
      </c>
      <c r="N83" s="7">
        <f ca="1">[1]!b_calc_curve_chinabond("1082",N$1,$B83)</f>
        <v>2.1145999999999998</v>
      </c>
      <c r="O83" s="7">
        <f ca="1">[1]!b_calc_curve_chinabond("1082",O$1,$B83)</f>
        <v>2.1099000000000001</v>
      </c>
      <c r="P83" s="7">
        <f ca="1">[1]!b_calc_curve_chinabond("1082",P$1,$B83)</f>
        <v>2.1011000000000002</v>
      </c>
      <c r="Q83" s="7">
        <f ca="1">[1]!b_calc_curve_chinabond("1082",Q$1,$B83)</f>
        <v>2.0958000000000001</v>
      </c>
      <c r="R83" s="7">
        <f ca="1">[1]!b_calc_curve_chinabond("1082",R$1,$B83)</f>
        <v>2.0911</v>
      </c>
      <c r="S83" s="7">
        <f ca="1">[1]!b_calc_curve_chinabond("1082",S$1,$B83)</f>
        <v>0</v>
      </c>
      <c r="T83" s="7">
        <f ca="1">[1]!b_calc_curve_chinabond("1082",T$1,$B83)</f>
        <v>0</v>
      </c>
      <c r="U83" s="7">
        <f ca="1">[1]!b_calc_curve_chinabond("1082",U$1,$B83)</f>
        <v>2.1044</v>
      </c>
      <c r="V83" s="7">
        <f ca="1">[1]!b_calc_curve_chinabond("1082",V$1,$B83)</f>
        <v>2.1324999999999998</v>
      </c>
      <c r="W83" s="7">
        <f ca="1">[1]!b_calc_curve_chinabond("1082",W$1,$B83)</f>
        <v>2.1465000000000001</v>
      </c>
      <c r="X83" s="7">
        <f ca="1">[1]!b_calc_curve_chinabond("1082",X$1,$B83)</f>
        <v>2.1541000000000001</v>
      </c>
      <c r="Y83" s="7">
        <f ca="1">[1]!b_calc_curve_chinabond("1082",Y$1,$B83)</f>
        <v>2.1680999999999999</v>
      </c>
      <c r="Z83" s="7">
        <f ca="1">[1]!b_calc_curve_chinabond("1082",Z$1,$B83)</f>
        <v>0</v>
      </c>
      <c r="AA83" s="7">
        <f ca="1">[1]!b_calc_curve_chinabond("1082",AA$1,$B83)</f>
        <v>0</v>
      </c>
      <c r="AB83" s="7">
        <f ca="1">[1]!b_calc_curve_chinabond("1082",AB$1,$B83)</f>
        <v>2.1686999999999999</v>
      </c>
      <c r="AC83" s="7">
        <f ca="1">[1]!b_calc_curve_chinabond("1082",AC$1,$B83)</f>
        <v>2.1629</v>
      </c>
      <c r="AD83" s="7">
        <f ca="1">[1]!b_calc_curve_chinabond("1082",AD$1,$B83)</f>
        <v>2.1536</v>
      </c>
      <c r="AE83" s="7">
        <f ca="1">[1]!b_calc_curve_chinabond("1082",AE$1,$B83)</f>
        <v>2.1522000000000001</v>
      </c>
      <c r="AF83" s="7">
        <f ca="1">[1]!b_calc_curve_chinabond("1082",AF$1,$B83)</f>
        <v>0</v>
      </c>
      <c r="AG83" s="7">
        <f ca="1">[1]!b_calc_curve_chinabond("1082",AG$1,$B83)</f>
        <v>0</v>
      </c>
      <c r="AH83" s="7">
        <f ca="1">[1]!b_calc_curve_chinabond("1082",AH$1,$B83)</f>
        <v>0</v>
      </c>
      <c r="AI83" s="7">
        <f ca="1">[1]!b_calc_curve_chinabond("1082",AI$1,$B83)</f>
        <v>0</v>
      </c>
    </row>
    <row r="84" spans="1:35" ht="19.5" customHeight="1">
      <c r="A84" s="1" t="s">
        <v>84</v>
      </c>
      <c r="B84" s="2">
        <v>7.6</v>
      </c>
      <c r="C84" s="7">
        <f ca="1">[1]!b_calc_curve_chinabond("1082",C$1,$B84)</f>
        <v>2.1634000000000002</v>
      </c>
      <c r="D84" s="7">
        <f ca="1">[1]!b_calc_curve_chinabond("1082",D$1,$B84)</f>
        <v>2.1558999999999999</v>
      </c>
      <c r="E84" s="7">
        <f ca="1">[1]!b_calc_curve_chinabond("1082",E$1,$B84)</f>
        <v>0</v>
      </c>
      <c r="F84" s="7">
        <f ca="1">[1]!b_calc_curve_chinabond("1082",F$1,$B84)</f>
        <v>0</v>
      </c>
      <c r="G84" s="7">
        <f ca="1">[1]!b_calc_curve_chinabond("1082",G$1,$B84)</f>
        <v>2.1532</v>
      </c>
      <c r="H84" s="7">
        <f ca="1">[1]!b_calc_curve_chinabond("1082",H$1,$B84)</f>
        <v>2.1392000000000002</v>
      </c>
      <c r="I84" s="7">
        <f ca="1">[1]!b_calc_curve_chinabond("1082",I$1,$B84)</f>
        <v>2.1381999999999999</v>
      </c>
      <c r="J84" s="7">
        <f ca="1">[1]!b_calc_curve_chinabond("1082",J$1,$B84)</f>
        <v>2.129</v>
      </c>
      <c r="K84" s="7">
        <f ca="1">[1]!b_calc_curve_chinabond("1082",K$1,$B84)</f>
        <v>2.1259000000000001</v>
      </c>
      <c r="L84" s="7">
        <f ca="1">[1]!b_calc_curve_chinabond("1082",L$1,$B84)</f>
        <v>0</v>
      </c>
      <c r="M84" s="7">
        <f ca="1">[1]!b_calc_curve_chinabond("1082",M$1,$B84)</f>
        <v>0</v>
      </c>
      <c r="N84" s="7">
        <f ca="1">[1]!b_calc_curve_chinabond("1082",N$1,$B84)</f>
        <v>2.1185999999999998</v>
      </c>
      <c r="O84" s="7">
        <f ca="1">[1]!b_calc_curve_chinabond("1082",O$1,$B84)</f>
        <v>2.1122000000000001</v>
      </c>
      <c r="P84" s="7">
        <f ca="1">[1]!b_calc_curve_chinabond("1082",P$1,$B84)</f>
        <v>2.1034000000000002</v>
      </c>
      <c r="Q84" s="7">
        <f ca="1">[1]!b_calc_curve_chinabond("1082",Q$1,$B84)</f>
        <v>2.0998999999999999</v>
      </c>
      <c r="R84" s="7">
        <f ca="1">[1]!b_calc_curve_chinabond("1082",R$1,$B84)</f>
        <v>2.0939999999999999</v>
      </c>
      <c r="S84" s="7">
        <f ca="1">[1]!b_calc_curve_chinabond("1082",S$1,$B84)</f>
        <v>0</v>
      </c>
      <c r="T84" s="7">
        <f ca="1">[1]!b_calc_curve_chinabond("1082",T$1,$B84)</f>
        <v>0</v>
      </c>
      <c r="U84" s="7">
        <f ca="1">[1]!b_calc_curve_chinabond("1082",U$1,$B84)</f>
        <v>2.1092</v>
      </c>
      <c r="V84" s="7">
        <f ca="1">[1]!b_calc_curve_chinabond("1082",V$1,$B84)</f>
        <v>2.1364999999999998</v>
      </c>
      <c r="W84" s="7">
        <f ca="1">[1]!b_calc_curve_chinabond("1082",W$1,$B84)</f>
        <v>2.1516999999999999</v>
      </c>
      <c r="X84" s="7">
        <f ca="1">[1]!b_calc_curve_chinabond("1082",X$1,$B84)</f>
        <v>2.1610999999999998</v>
      </c>
      <c r="Y84" s="7">
        <f ca="1">[1]!b_calc_curve_chinabond("1082",Y$1,$B84)</f>
        <v>2.1745000000000001</v>
      </c>
      <c r="Z84" s="7">
        <f ca="1">[1]!b_calc_curve_chinabond("1082",Z$1,$B84)</f>
        <v>0</v>
      </c>
      <c r="AA84" s="7">
        <f ca="1">[1]!b_calc_curve_chinabond("1082",AA$1,$B84)</f>
        <v>0</v>
      </c>
      <c r="AB84" s="7">
        <f ca="1">[1]!b_calc_curve_chinabond("1082",AB$1,$B84)</f>
        <v>2.1741999999999999</v>
      </c>
      <c r="AC84" s="7">
        <f ca="1">[1]!b_calc_curve_chinabond("1082",AC$1,$B84)</f>
        <v>2.1678000000000002</v>
      </c>
      <c r="AD84" s="7">
        <f ca="1">[1]!b_calc_curve_chinabond("1082",AD$1,$B84)</f>
        <v>2.1593</v>
      </c>
      <c r="AE84" s="7">
        <f ca="1">[1]!b_calc_curve_chinabond("1082",AE$1,$B84)</f>
        <v>2.1564000000000001</v>
      </c>
      <c r="AF84" s="7">
        <f ca="1">[1]!b_calc_curve_chinabond("1082",AF$1,$B84)</f>
        <v>0</v>
      </c>
      <c r="AG84" s="7">
        <f ca="1">[1]!b_calc_curve_chinabond("1082",AG$1,$B84)</f>
        <v>0</v>
      </c>
      <c r="AH84" s="7">
        <f ca="1">[1]!b_calc_curve_chinabond("1082",AH$1,$B84)</f>
        <v>0</v>
      </c>
      <c r="AI84" s="7">
        <f ca="1">[1]!b_calc_curve_chinabond("1082",AI$1,$B84)</f>
        <v>0</v>
      </c>
    </row>
    <row r="85" spans="1:35" ht="19.5" customHeight="1">
      <c r="A85" s="3" t="s">
        <v>85</v>
      </c>
      <c r="B85" s="4">
        <v>7.7</v>
      </c>
      <c r="C85" s="7">
        <f ca="1">[1]!b_calc_curve_chinabond("1082",C$1,$B85)</f>
        <v>2.1709999999999998</v>
      </c>
      <c r="D85" s="7">
        <f ca="1">[1]!b_calc_curve_chinabond("1082",D$1,$B85)</f>
        <v>2.1631</v>
      </c>
      <c r="E85" s="7">
        <f ca="1">[1]!b_calc_curve_chinabond("1082",E$1,$B85)</f>
        <v>0</v>
      </c>
      <c r="F85" s="7">
        <f ca="1">[1]!b_calc_curve_chinabond("1082",F$1,$B85)</f>
        <v>0</v>
      </c>
      <c r="G85" s="7">
        <f ca="1">[1]!b_calc_curve_chinabond("1082",G$1,$B85)</f>
        <v>2.161</v>
      </c>
      <c r="H85" s="7">
        <f ca="1">[1]!b_calc_curve_chinabond("1082",H$1,$B85)</f>
        <v>2.1442999999999999</v>
      </c>
      <c r="I85" s="7">
        <f ca="1">[1]!b_calc_curve_chinabond("1082",I$1,$B85)</f>
        <v>2.1436999999999999</v>
      </c>
      <c r="J85" s="7">
        <f ca="1">[1]!b_calc_curve_chinabond("1082",J$1,$B85)</f>
        <v>2.1349999999999998</v>
      </c>
      <c r="K85" s="7">
        <f ca="1">[1]!b_calc_curve_chinabond("1082",K$1,$B85)</f>
        <v>2.1293000000000002</v>
      </c>
      <c r="L85" s="7">
        <f ca="1">[1]!b_calc_curve_chinabond("1082",L$1,$B85)</f>
        <v>0</v>
      </c>
      <c r="M85" s="7">
        <f ca="1">[1]!b_calc_curve_chinabond("1082",M$1,$B85)</f>
        <v>0</v>
      </c>
      <c r="N85" s="7">
        <f ca="1">[1]!b_calc_curve_chinabond("1082",N$1,$B85)</f>
        <v>2.1223000000000001</v>
      </c>
      <c r="O85" s="7">
        <f ca="1">[1]!b_calc_curve_chinabond("1082",O$1,$B85)</f>
        <v>2.1141000000000001</v>
      </c>
      <c r="P85" s="7">
        <f ca="1">[1]!b_calc_curve_chinabond("1082",P$1,$B85)</f>
        <v>2.1053000000000002</v>
      </c>
      <c r="Q85" s="7">
        <f ca="1">[1]!b_calc_curve_chinabond("1082",Q$1,$B85)</f>
        <v>2.1036000000000001</v>
      </c>
      <c r="R85" s="7">
        <f ca="1">[1]!b_calc_curve_chinabond("1082",R$1,$B85)</f>
        <v>2.0964</v>
      </c>
      <c r="S85" s="7">
        <f ca="1">[1]!b_calc_curve_chinabond("1082",S$1,$B85)</f>
        <v>0</v>
      </c>
      <c r="T85" s="7">
        <f ca="1">[1]!b_calc_curve_chinabond("1082",T$1,$B85)</f>
        <v>0</v>
      </c>
      <c r="U85" s="7">
        <f ca="1">[1]!b_calc_curve_chinabond("1082",U$1,$B85)</f>
        <v>2.1139000000000001</v>
      </c>
      <c r="V85" s="7">
        <f ca="1">[1]!b_calc_curve_chinabond("1082",V$1,$B85)</f>
        <v>2.1400999999999999</v>
      </c>
      <c r="W85" s="7">
        <f ca="1">[1]!b_calc_curve_chinabond("1082",W$1,$B85)</f>
        <v>2.1566000000000001</v>
      </c>
      <c r="X85" s="7">
        <f ca="1">[1]!b_calc_curve_chinabond("1082",X$1,$B85)</f>
        <v>2.1680000000000001</v>
      </c>
      <c r="Y85" s="7">
        <f ca="1">[1]!b_calc_curve_chinabond("1082",Y$1,$B85)</f>
        <v>2.1806000000000001</v>
      </c>
      <c r="Z85" s="7">
        <f ca="1">[1]!b_calc_curve_chinabond("1082",Z$1,$B85)</f>
        <v>0</v>
      </c>
      <c r="AA85" s="7">
        <f ca="1">[1]!b_calc_curve_chinabond("1082",AA$1,$B85)</f>
        <v>0</v>
      </c>
      <c r="AB85" s="7">
        <f ca="1">[1]!b_calc_curve_chinabond("1082",AB$1,$B85)</f>
        <v>2.1793999999999998</v>
      </c>
      <c r="AC85" s="7">
        <f ca="1">[1]!b_calc_curve_chinabond("1082",AC$1,$B85)</f>
        <v>2.1724000000000001</v>
      </c>
      <c r="AD85" s="7">
        <f ca="1">[1]!b_calc_curve_chinabond("1082",AD$1,$B85)</f>
        <v>2.1648000000000001</v>
      </c>
      <c r="AE85" s="7">
        <f ca="1">[1]!b_calc_curve_chinabond("1082",AE$1,$B85)</f>
        <v>2.1602000000000001</v>
      </c>
      <c r="AF85" s="7">
        <f ca="1">[1]!b_calc_curve_chinabond("1082",AF$1,$B85)</f>
        <v>0</v>
      </c>
      <c r="AG85" s="7">
        <f ca="1">[1]!b_calc_curve_chinabond("1082",AG$1,$B85)</f>
        <v>0</v>
      </c>
      <c r="AH85" s="7">
        <f ca="1">[1]!b_calc_curve_chinabond("1082",AH$1,$B85)</f>
        <v>0</v>
      </c>
      <c r="AI85" s="7">
        <f ca="1">[1]!b_calc_curve_chinabond("1082",AI$1,$B85)</f>
        <v>0</v>
      </c>
    </row>
    <row r="86" spans="1:35" ht="19.5" customHeight="1">
      <c r="A86" s="1" t="s">
        <v>86</v>
      </c>
      <c r="B86" s="2">
        <v>7.8</v>
      </c>
      <c r="C86" s="7">
        <f ca="1">[1]!b_calc_curve_chinabond("1082",C$1,$B86)</f>
        <v>2.1787000000000001</v>
      </c>
      <c r="D86" s="7">
        <f ca="1">[1]!b_calc_curve_chinabond("1082",D$1,$B86)</f>
        <v>2.1703999999999999</v>
      </c>
      <c r="E86" s="7">
        <f ca="1">[1]!b_calc_curve_chinabond("1082",E$1,$B86)</f>
        <v>0</v>
      </c>
      <c r="F86" s="7">
        <f ca="1">[1]!b_calc_curve_chinabond("1082",F$1,$B86)</f>
        <v>0</v>
      </c>
      <c r="G86" s="7">
        <f ca="1">[1]!b_calc_curve_chinabond("1082",G$1,$B86)</f>
        <v>2.1688000000000001</v>
      </c>
      <c r="H86" s="7">
        <f ca="1">[1]!b_calc_curve_chinabond("1082",H$1,$B86)</f>
        <v>2.1495000000000002</v>
      </c>
      <c r="I86" s="7">
        <f ca="1">[1]!b_calc_curve_chinabond("1082",I$1,$B86)</f>
        <v>2.1494</v>
      </c>
      <c r="J86" s="7">
        <f ca="1">[1]!b_calc_curve_chinabond("1082",J$1,$B86)</f>
        <v>2.1410999999999998</v>
      </c>
      <c r="K86" s="7">
        <f ca="1">[1]!b_calc_curve_chinabond("1082",K$1,$B86)</f>
        <v>2.1328999999999998</v>
      </c>
      <c r="L86" s="7">
        <f ca="1">[1]!b_calc_curve_chinabond("1082",L$1,$B86)</f>
        <v>0</v>
      </c>
      <c r="M86" s="7">
        <f ca="1">[1]!b_calc_curve_chinabond("1082",M$1,$B86)</f>
        <v>0</v>
      </c>
      <c r="N86" s="7">
        <f ca="1">[1]!b_calc_curve_chinabond("1082",N$1,$B86)</f>
        <v>2.1261999999999999</v>
      </c>
      <c r="O86" s="7">
        <f ca="1">[1]!b_calc_curve_chinabond("1082",O$1,$B86)</f>
        <v>2.1160999999999999</v>
      </c>
      <c r="P86" s="7">
        <f ca="1">[1]!b_calc_curve_chinabond("1082",P$1,$B86)</f>
        <v>2.1074000000000002</v>
      </c>
      <c r="Q86" s="7">
        <f ca="1">[1]!b_calc_curve_chinabond("1082",Q$1,$B86)</f>
        <v>2.1074999999999999</v>
      </c>
      <c r="R86" s="7">
        <f ca="1">[1]!b_calc_curve_chinabond("1082",R$1,$B86)</f>
        <v>2.0991</v>
      </c>
      <c r="S86" s="7">
        <f ca="1">[1]!b_calc_curve_chinabond("1082",S$1,$B86)</f>
        <v>0</v>
      </c>
      <c r="T86" s="7">
        <f ca="1">[1]!b_calc_curve_chinabond("1082",T$1,$B86)</f>
        <v>0</v>
      </c>
      <c r="U86" s="7">
        <f ca="1">[1]!b_calc_curve_chinabond("1082",U$1,$B86)</f>
        <v>2.1185999999999998</v>
      </c>
      <c r="V86" s="7">
        <f ca="1">[1]!b_calc_curve_chinabond("1082",V$1,$B86)</f>
        <v>2.1438000000000001</v>
      </c>
      <c r="W86" s="7">
        <f ca="1">[1]!b_calc_curve_chinabond("1082",W$1,$B86)</f>
        <v>2.1617000000000002</v>
      </c>
      <c r="X86" s="7">
        <f ca="1">[1]!b_calc_curve_chinabond("1082",X$1,$B86)</f>
        <v>2.1749000000000001</v>
      </c>
      <c r="Y86" s="7">
        <f ca="1">[1]!b_calc_curve_chinabond("1082",Y$1,$B86)</f>
        <v>2.1869000000000001</v>
      </c>
      <c r="Z86" s="7">
        <f ca="1">[1]!b_calc_curve_chinabond("1082",Z$1,$B86)</f>
        <v>0</v>
      </c>
      <c r="AA86" s="7">
        <f ca="1">[1]!b_calc_curve_chinabond("1082",AA$1,$B86)</f>
        <v>0</v>
      </c>
      <c r="AB86" s="7">
        <f ca="1">[1]!b_calc_curve_chinabond("1082",AB$1,$B86)</f>
        <v>2.1846999999999999</v>
      </c>
      <c r="AC86" s="7">
        <f ca="1">[1]!b_calc_curve_chinabond("1082",AC$1,$B86)</f>
        <v>2.1770999999999998</v>
      </c>
      <c r="AD86" s="7">
        <f ca="1">[1]!b_calc_curve_chinabond("1082",AD$1,$B86)</f>
        <v>2.1703999999999999</v>
      </c>
      <c r="AE86" s="7">
        <f ca="1">[1]!b_calc_curve_chinabond("1082",AE$1,$B86)</f>
        <v>2.1642000000000001</v>
      </c>
      <c r="AF86" s="7">
        <f ca="1">[1]!b_calc_curve_chinabond("1082",AF$1,$B86)</f>
        <v>0</v>
      </c>
      <c r="AG86" s="7">
        <f ca="1">[1]!b_calc_curve_chinabond("1082",AG$1,$B86)</f>
        <v>0</v>
      </c>
      <c r="AH86" s="7">
        <f ca="1">[1]!b_calc_curve_chinabond("1082",AH$1,$B86)</f>
        <v>0</v>
      </c>
      <c r="AI86" s="7">
        <f ca="1">[1]!b_calc_curve_chinabond("1082",AI$1,$B86)</f>
        <v>0</v>
      </c>
    </row>
    <row r="87" spans="1:35" ht="19.5" customHeight="1">
      <c r="A87" s="3" t="s">
        <v>87</v>
      </c>
      <c r="B87" s="4">
        <v>7.9</v>
      </c>
      <c r="C87" s="7">
        <f ca="1">[1]!b_calc_curve_chinabond("1082",C$1,$B87)</f>
        <v>2.1865000000000001</v>
      </c>
      <c r="D87" s="7">
        <f ca="1">[1]!b_calc_curve_chinabond("1082",D$1,$B87)</f>
        <v>2.1778</v>
      </c>
      <c r="E87" s="7">
        <f ca="1">[1]!b_calc_curve_chinabond("1082",E$1,$B87)</f>
        <v>0</v>
      </c>
      <c r="F87" s="7">
        <f ca="1">[1]!b_calc_curve_chinabond("1082",F$1,$B87)</f>
        <v>0</v>
      </c>
      <c r="G87" s="7">
        <f ca="1">[1]!b_calc_curve_chinabond("1082",G$1,$B87)</f>
        <v>2.1766999999999999</v>
      </c>
      <c r="H87" s="7">
        <f ca="1">[1]!b_calc_curve_chinabond("1082",H$1,$B87)</f>
        <v>2.1549999999999998</v>
      </c>
      <c r="I87" s="7">
        <f ca="1">[1]!b_calc_curve_chinabond("1082",I$1,$B87)</f>
        <v>2.1553</v>
      </c>
      <c r="J87" s="7">
        <f ca="1">[1]!b_calc_curve_chinabond("1082",J$1,$B87)</f>
        <v>2.1474000000000002</v>
      </c>
      <c r="K87" s="7">
        <f ca="1">[1]!b_calc_curve_chinabond("1082",K$1,$B87)</f>
        <v>2.137</v>
      </c>
      <c r="L87" s="7">
        <f ca="1">[1]!b_calc_curve_chinabond("1082",L$1,$B87)</f>
        <v>0</v>
      </c>
      <c r="M87" s="7">
        <f ca="1">[1]!b_calc_curve_chinabond("1082",M$1,$B87)</f>
        <v>0</v>
      </c>
      <c r="N87" s="7">
        <f ca="1">[1]!b_calc_curve_chinabond("1082",N$1,$B87)</f>
        <v>2.1305999999999998</v>
      </c>
      <c r="O87" s="7">
        <f ca="1">[1]!b_calc_curve_chinabond("1082",O$1,$B87)</f>
        <v>2.1187999999999998</v>
      </c>
      <c r="P87" s="7">
        <f ca="1">[1]!b_calc_curve_chinabond("1082",P$1,$B87)</f>
        <v>2.1101000000000001</v>
      </c>
      <c r="Q87" s="7">
        <f ca="1">[1]!b_calc_curve_chinabond("1082",Q$1,$B87)</f>
        <v>2.1120000000000001</v>
      </c>
      <c r="R87" s="7">
        <f ca="1">[1]!b_calc_curve_chinabond("1082",R$1,$B87)</f>
        <v>2.1023999999999998</v>
      </c>
      <c r="S87" s="7">
        <f ca="1">[1]!b_calc_curve_chinabond("1082",S$1,$B87)</f>
        <v>0</v>
      </c>
      <c r="T87" s="7">
        <f ca="1">[1]!b_calc_curve_chinabond("1082",T$1,$B87)</f>
        <v>0</v>
      </c>
      <c r="U87" s="7">
        <f ca="1">[1]!b_calc_curve_chinabond("1082",U$1,$B87)</f>
        <v>2.1238999999999999</v>
      </c>
      <c r="V87" s="7">
        <f ca="1">[1]!b_calc_curve_chinabond("1082",V$1,$B87)</f>
        <v>2.1482999999999999</v>
      </c>
      <c r="W87" s="7">
        <f ca="1">[1]!b_calc_curve_chinabond("1082",W$1,$B87)</f>
        <v>2.1673</v>
      </c>
      <c r="X87" s="7">
        <f ca="1">[1]!b_calc_curve_chinabond("1082",X$1,$B87)</f>
        <v>2.1823999999999999</v>
      </c>
      <c r="Y87" s="7">
        <f ca="1">[1]!b_calc_curve_chinabond("1082",Y$1,$B87)</f>
        <v>2.1936</v>
      </c>
      <c r="Z87" s="7">
        <f ca="1">[1]!b_calc_curve_chinabond("1082",Z$1,$B87)</f>
        <v>0</v>
      </c>
      <c r="AA87" s="7">
        <f ca="1">[1]!b_calc_curve_chinabond("1082",AA$1,$B87)</f>
        <v>0</v>
      </c>
      <c r="AB87" s="7">
        <f ca="1">[1]!b_calc_curve_chinabond("1082",AB$1,$B87)</f>
        <v>2.1905999999999999</v>
      </c>
      <c r="AC87" s="7">
        <f ca="1">[1]!b_calc_curve_chinabond("1082",AC$1,$B87)</f>
        <v>2.1823999999999999</v>
      </c>
      <c r="AD87" s="7">
        <f ca="1">[1]!b_calc_curve_chinabond("1082",AD$1,$B87)</f>
        <v>2.1764999999999999</v>
      </c>
      <c r="AE87" s="7">
        <f ca="1">[1]!b_calc_curve_chinabond("1082",AE$1,$B87)</f>
        <v>2.1688000000000001</v>
      </c>
      <c r="AF87" s="7">
        <f ca="1">[1]!b_calc_curve_chinabond("1082",AF$1,$B87)</f>
        <v>0</v>
      </c>
      <c r="AG87" s="7">
        <f ca="1">[1]!b_calc_curve_chinabond("1082",AG$1,$B87)</f>
        <v>0</v>
      </c>
      <c r="AH87" s="7">
        <f ca="1">[1]!b_calc_curve_chinabond("1082",AH$1,$B87)</f>
        <v>0</v>
      </c>
      <c r="AI87" s="7">
        <f ca="1">[1]!b_calc_curve_chinabond("1082",AI$1,$B87)</f>
        <v>0</v>
      </c>
    </row>
    <row r="88" spans="1:35" ht="19.5" customHeight="1">
      <c r="A88" s="1" t="s">
        <v>88</v>
      </c>
      <c r="B88" s="2">
        <v>8</v>
      </c>
      <c r="C88" s="7">
        <f ca="1">[1]!b_calc_curve_chinabond("1082",C$1,$B88)</f>
        <v>2.1945999999999999</v>
      </c>
      <c r="D88" s="7">
        <f ca="1">[1]!b_calc_curve_chinabond("1082",D$1,$B88)</f>
        <v>2.1855000000000002</v>
      </c>
      <c r="E88" s="7">
        <f ca="1">[1]!b_calc_curve_chinabond("1082",E$1,$B88)</f>
        <v>0</v>
      </c>
      <c r="F88" s="7">
        <f ca="1">[1]!b_calc_curve_chinabond("1082",F$1,$B88)</f>
        <v>0</v>
      </c>
      <c r="G88" s="7">
        <f ca="1">[1]!b_calc_curve_chinabond("1082",G$1,$B88)</f>
        <v>2.1848000000000001</v>
      </c>
      <c r="H88" s="7">
        <f ca="1">[1]!b_calc_curve_chinabond("1082",H$1,$B88)</f>
        <v>2.161</v>
      </c>
      <c r="I88" s="7">
        <f ca="1">[1]!b_calc_curve_chinabond("1082",I$1,$B88)</f>
        <v>2.1617000000000002</v>
      </c>
      <c r="J88" s="7">
        <f ca="1">[1]!b_calc_curve_chinabond("1082",J$1,$B88)</f>
        <v>2.1541999999999999</v>
      </c>
      <c r="K88" s="7">
        <f ca="1">[1]!b_calc_curve_chinabond("1082",K$1,$B88)</f>
        <v>2.1421000000000001</v>
      </c>
      <c r="L88" s="7">
        <f ca="1">[1]!b_calc_curve_chinabond("1082",L$1,$B88)</f>
        <v>0</v>
      </c>
      <c r="M88" s="7">
        <f ca="1">[1]!b_calc_curve_chinabond("1082",M$1,$B88)</f>
        <v>0</v>
      </c>
      <c r="N88" s="7">
        <f ca="1">[1]!b_calc_curve_chinabond("1082",N$1,$B88)</f>
        <v>2.1360999999999999</v>
      </c>
      <c r="O88" s="7">
        <f ca="1">[1]!b_calc_curve_chinabond("1082",O$1,$B88)</f>
        <v>2.1227</v>
      </c>
      <c r="P88" s="7">
        <f ca="1">[1]!b_calc_curve_chinabond("1082",P$1,$B88)</f>
        <v>2.1141000000000001</v>
      </c>
      <c r="Q88" s="7">
        <f ca="1">[1]!b_calc_curve_chinabond("1082",Q$1,$B88)</f>
        <v>2.1175999999999999</v>
      </c>
      <c r="R88" s="7">
        <f ca="1">[1]!b_calc_curve_chinabond("1082",R$1,$B88)</f>
        <v>2.1070000000000002</v>
      </c>
      <c r="S88" s="7">
        <f ca="1">[1]!b_calc_curve_chinabond("1082",S$1,$B88)</f>
        <v>0</v>
      </c>
      <c r="T88" s="7">
        <f ca="1">[1]!b_calc_curve_chinabond("1082",T$1,$B88)</f>
        <v>0</v>
      </c>
      <c r="U88" s="7">
        <f ca="1">[1]!b_calc_curve_chinabond("1082",U$1,$B88)</f>
        <v>2.1301000000000001</v>
      </c>
      <c r="V88" s="7">
        <f ca="1">[1]!b_calc_curve_chinabond("1082",V$1,$B88)</f>
        <v>2.1539999999999999</v>
      </c>
      <c r="W88" s="7">
        <f ca="1">[1]!b_calc_curve_chinabond("1082",W$1,$B88)</f>
        <v>2.1739999999999999</v>
      </c>
      <c r="X88" s="7">
        <f ca="1">[1]!b_calc_curve_chinabond("1082",X$1,$B88)</f>
        <v>2.1905999999999999</v>
      </c>
      <c r="Y88" s="7">
        <f ca="1">[1]!b_calc_curve_chinabond("1082",Y$1,$B88)</f>
        <v>2.2012</v>
      </c>
      <c r="Z88" s="7">
        <f ca="1">[1]!b_calc_curve_chinabond("1082",Z$1,$B88)</f>
        <v>0</v>
      </c>
      <c r="AA88" s="7">
        <f ca="1">[1]!b_calc_curve_chinabond("1082",AA$1,$B88)</f>
        <v>0</v>
      </c>
      <c r="AB88" s="7">
        <f ca="1">[1]!b_calc_curve_chinabond("1082",AB$1,$B88)</f>
        <v>2.1974999999999998</v>
      </c>
      <c r="AC88" s="7">
        <f ca="1">[1]!b_calc_curve_chinabond("1082",AC$1,$B88)</f>
        <v>2.1886999999999999</v>
      </c>
      <c r="AD88" s="7">
        <f ca="1">[1]!b_calc_curve_chinabond("1082",AD$1,$B88)</f>
        <v>2.1835</v>
      </c>
      <c r="AE88" s="7">
        <f ca="1">[1]!b_calc_curve_chinabond("1082",AE$1,$B88)</f>
        <v>2.1745000000000001</v>
      </c>
      <c r="AF88" s="7">
        <f ca="1">[1]!b_calc_curve_chinabond("1082",AF$1,$B88)</f>
        <v>0</v>
      </c>
      <c r="AG88" s="7">
        <f ca="1">[1]!b_calc_curve_chinabond("1082",AG$1,$B88)</f>
        <v>0</v>
      </c>
      <c r="AH88" s="7">
        <f ca="1">[1]!b_calc_curve_chinabond("1082",AH$1,$B88)</f>
        <v>0</v>
      </c>
      <c r="AI88" s="7">
        <f ca="1">[1]!b_calc_curve_chinabond("1082",AI$1,$B88)</f>
        <v>0</v>
      </c>
    </row>
    <row r="89" spans="1:35" ht="19.5" customHeight="1">
      <c r="A89" s="3" t="s">
        <v>89</v>
      </c>
      <c r="B89" s="4">
        <v>8.1</v>
      </c>
      <c r="C89" s="7">
        <f ca="1">[1]!b_calc_curve_chinabond("1082",C$1,$B89)</f>
        <v>2.2031000000000001</v>
      </c>
      <c r="D89" s="7">
        <f ca="1">[1]!b_calc_curve_chinabond("1082",D$1,$B89)</f>
        <v>2.1938</v>
      </c>
      <c r="E89" s="7">
        <f ca="1">[1]!b_calc_curve_chinabond("1082",E$1,$B89)</f>
        <v>0</v>
      </c>
      <c r="F89" s="7">
        <f ca="1">[1]!b_calc_curve_chinabond("1082",F$1,$B89)</f>
        <v>0</v>
      </c>
      <c r="G89" s="7">
        <f ca="1">[1]!b_calc_curve_chinabond("1082",G$1,$B89)</f>
        <v>2.1934</v>
      </c>
      <c r="H89" s="7">
        <f ca="1">[1]!b_calc_curve_chinabond("1082",H$1,$B89)</f>
        <v>2.1682000000000001</v>
      </c>
      <c r="I89" s="7">
        <f ca="1">[1]!b_calc_curve_chinabond("1082",I$1,$B89)</f>
        <v>2.169</v>
      </c>
      <c r="J89" s="7">
        <f ca="1">[1]!b_calc_curve_chinabond("1082",J$1,$B89)</f>
        <v>2.1617000000000002</v>
      </c>
      <c r="K89" s="7">
        <f ca="1">[1]!b_calc_curve_chinabond("1082",K$1,$B89)</f>
        <v>2.1488999999999998</v>
      </c>
      <c r="L89" s="7">
        <f ca="1">[1]!b_calc_curve_chinabond("1082",L$1,$B89)</f>
        <v>0</v>
      </c>
      <c r="M89" s="7">
        <f ca="1">[1]!b_calc_curve_chinabond("1082",M$1,$B89)</f>
        <v>0</v>
      </c>
      <c r="N89" s="7">
        <f ca="1">[1]!b_calc_curve_chinabond("1082",N$1,$B89)</f>
        <v>2.1433</v>
      </c>
      <c r="O89" s="7">
        <f ca="1">[1]!b_calc_curve_chinabond("1082",O$1,$B89)</f>
        <v>2.1282999999999999</v>
      </c>
      <c r="P89" s="7">
        <f ca="1">[1]!b_calc_curve_chinabond("1082",P$1,$B89)</f>
        <v>2.1202000000000001</v>
      </c>
      <c r="Q89" s="7">
        <f ca="1">[1]!b_calc_curve_chinabond("1082",Q$1,$B89)</f>
        <v>2.1248</v>
      </c>
      <c r="R89" s="7">
        <f ca="1">[1]!b_calc_curve_chinabond("1082",R$1,$B89)</f>
        <v>2.1133000000000002</v>
      </c>
      <c r="S89" s="7">
        <f ca="1">[1]!b_calc_curve_chinabond("1082",S$1,$B89)</f>
        <v>0</v>
      </c>
      <c r="T89" s="7">
        <f ca="1">[1]!b_calc_curve_chinabond("1082",T$1,$B89)</f>
        <v>0</v>
      </c>
      <c r="U89" s="7">
        <f ca="1">[1]!b_calc_curve_chinabond("1082",U$1,$B89)</f>
        <v>2.1372</v>
      </c>
      <c r="V89" s="7">
        <f ca="1">[1]!b_calc_curve_chinabond("1082",V$1,$B89)</f>
        <v>2.1608999999999998</v>
      </c>
      <c r="W89" s="7">
        <f ca="1">[1]!b_calc_curve_chinabond("1082",W$1,$B89)</f>
        <v>2.1818</v>
      </c>
      <c r="X89" s="7">
        <f ca="1">[1]!b_calc_curve_chinabond("1082",X$1,$B89)</f>
        <v>2.1991999999999998</v>
      </c>
      <c r="Y89" s="7">
        <f ca="1">[1]!b_calc_curve_chinabond("1082",Y$1,$B89)</f>
        <v>2.2094999999999998</v>
      </c>
      <c r="Z89" s="7">
        <f ca="1">[1]!b_calc_curve_chinabond("1082",Z$1,$B89)</f>
        <v>0</v>
      </c>
      <c r="AA89" s="7">
        <f ca="1">[1]!b_calc_curve_chinabond("1082",AA$1,$B89)</f>
        <v>0</v>
      </c>
      <c r="AB89" s="7">
        <f ca="1">[1]!b_calc_curve_chinabond("1082",AB$1,$B89)</f>
        <v>2.2052</v>
      </c>
      <c r="AC89" s="7">
        <f ca="1">[1]!b_calc_curve_chinabond("1082",AC$1,$B89)</f>
        <v>2.1962999999999999</v>
      </c>
      <c r="AD89" s="7">
        <f ca="1">[1]!b_calc_curve_chinabond("1082",AD$1,$B89)</f>
        <v>2.1909000000000001</v>
      </c>
      <c r="AE89" s="7">
        <f ca="1">[1]!b_calc_curve_chinabond("1082",AE$1,$B89)</f>
        <v>2.1810999999999998</v>
      </c>
      <c r="AF89" s="7">
        <f ca="1">[1]!b_calc_curve_chinabond("1082",AF$1,$B89)</f>
        <v>0</v>
      </c>
      <c r="AG89" s="7">
        <f ca="1">[1]!b_calc_curve_chinabond("1082",AG$1,$B89)</f>
        <v>0</v>
      </c>
      <c r="AH89" s="7">
        <f ca="1">[1]!b_calc_curve_chinabond("1082",AH$1,$B89)</f>
        <v>0</v>
      </c>
      <c r="AI89" s="7">
        <f ca="1">[1]!b_calc_curve_chinabond("1082",AI$1,$B89)</f>
        <v>0</v>
      </c>
    </row>
    <row r="90" spans="1:35" ht="19.5" customHeight="1">
      <c r="A90" s="1" t="s">
        <v>90</v>
      </c>
      <c r="B90" s="2">
        <v>8.1999999999999993</v>
      </c>
      <c r="C90" s="7">
        <f ca="1">[1]!b_calc_curve_chinabond("1082",C$1,$B90)</f>
        <v>2.2118000000000002</v>
      </c>
      <c r="D90" s="7">
        <f ca="1">[1]!b_calc_curve_chinabond("1082",D$1,$B90)</f>
        <v>2.2029000000000001</v>
      </c>
      <c r="E90" s="7">
        <f ca="1">[1]!b_calc_curve_chinabond("1082",E$1,$B90)</f>
        <v>0</v>
      </c>
      <c r="F90" s="7">
        <f ca="1">[1]!b_calc_curve_chinabond("1082",F$1,$B90)</f>
        <v>0</v>
      </c>
      <c r="G90" s="7">
        <f ca="1">[1]!b_calc_curve_chinabond("1082",G$1,$B90)</f>
        <v>2.2023999999999999</v>
      </c>
      <c r="H90" s="7">
        <f ca="1">[1]!b_calc_curve_chinabond("1082",H$1,$B90)</f>
        <v>2.1768999999999998</v>
      </c>
      <c r="I90" s="7">
        <f ca="1">[1]!b_calc_curve_chinabond("1082",I$1,$B90)</f>
        <v>2.1776</v>
      </c>
      <c r="J90" s="7">
        <f ca="1">[1]!b_calc_curve_chinabond("1082",J$1,$B90)</f>
        <v>2.1701000000000001</v>
      </c>
      <c r="K90" s="7">
        <f ca="1">[1]!b_calc_curve_chinabond("1082",K$1,$B90)</f>
        <v>2.1576</v>
      </c>
      <c r="L90" s="7">
        <f ca="1">[1]!b_calc_curve_chinabond("1082",L$1,$B90)</f>
        <v>0</v>
      </c>
      <c r="M90" s="7">
        <f ca="1">[1]!b_calc_curve_chinabond("1082",M$1,$B90)</f>
        <v>0</v>
      </c>
      <c r="N90" s="7">
        <f ca="1">[1]!b_calc_curve_chinabond("1082",N$1,$B90)</f>
        <v>2.1522000000000001</v>
      </c>
      <c r="O90" s="7">
        <f ca="1">[1]!b_calc_curve_chinabond("1082",O$1,$B90)</f>
        <v>2.1356999999999999</v>
      </c>
      <c r="P90" s="7">
        <f ca="1">[1]!b_calc_curve_chinabond("1082",P$1,$B90)</f>
        <v>2.1286999999999998</v>
      </c>
      <c r="Q90" s="7">
        <f ca="1">[1]!b_calc_curve_chinabond("1082",Q$1,$B90)</f>
        <v>2.1337000000000002</v>
      </c>
      <c r="R90" s="7">
        <f ca="1">[1]!b_calc_curve_chinabond("1082",R$1,$B90)</f>
        <v>2.121</v>
      </c>
      <c r="S90" s="7">
        <f ca="1">[1]!b_calc_curve_chinabond("1082",S$1,$B90)</f>
        <v>0</v>
      </c>
      <c r="T90" s="7">
        <f ca="1">[1]!b_calc_curve_chinabond("1082",T$1,$B90)</f>
        <v>0</v>
      </c>
      <c r="U90" s="7">
        <f ca="1">[1]!b_calc_curve_chinabond("1082",U$1,$B90)</f>
        <v>2.145</v>
      </c>
      <c r="V90" s="7">
        <f ca="1">[1]!b_calc_curve_chinabond("1082",V$1,$B90)</f>
        <v>2.1682999999999999</v>
      </c>
      <c r="W90" s="7">
        <f ca="1">[1]!b_calc_curve_chinabond("1082",W$1,$B90)</f>
        <v>2.1901999999999999</v>
      </c>
      <c r="X90" s="7">
        <f ca="1">[1]!b_calc_curve_chinabond("1082",X$1,$B90)</f>
        <v>2.2075999999999998</v>
      </c>
      <c r="Y90" s="7">
        <f ca="1">[1]!b_calc_curve_chinabond("1082",Y$1,$B90)</f>
        <v>2.2183000000000002</v>
      </c>
      <c r="Z90" s="7">
        <f ca="1">[1]!b_calc_curve_chinabond("1082",Z$1,$B90)</f>
        <v>0</v>
      </c>
      <c r="AA90" s="7">
        <f ca="1">[1]!b_calc_curve_chinabond("1082",AA$1,$B90)</f>
        <v>0</v>
      </c>
      <c r="AB90" s="7">
        <f ca="1">[1]!b_calc_curve_chinabond("1082",AB$1,$B90)</f>
        <v>2.2134999999999998</v>
      </c>
      <c r="AC90" s="7">
        <f ca="1">[1]!b_calc_curve_chinabond("1082",AC$1,$B90)</f>
        <v>2.2048999999999999</v>
      </c>
      <c r="AD90" s="7">
        <f ca="1">[1]!b_calc_curve_chinabond("1082",AD$1,$B90)</f>
        <v>2.1983000000000001</v>
      </c>
      <c r="AE90" s="7">
        <f ca="1">[1]!b_calc_curve_chinabond("1082",AE$1,$B90)</f>
        <v>2.1879</v>
      </c>
      <c r="AF90" s="7">
        <f ca="1">[1]!b_calc_curve_chinabond("1082",AF$1,$B90)</f>
        <v>0</v>
      </c>
      <c r="AG90" s="7">
        <f ca="1">[1]!b_calc_curve_chinabond("1082",AG$1,$B90)</f>
        <v>0</v>
      </c>
      <c r="AH90" s="7">
        <f ca="1">[1]!b_calc_curve_chinabond("1082",AH$1,$B90)</f>
        <v>0</v>
      </c>
      <c r="AI90" s="7">
        <f ca="1">[1]!b_calc_curve_chinabond("1082",AI$1,$B90)</f>
        <v>0</v>
      </c>
    </row>
    <row r="91" spans="1:35" ht="19.5" customHeight="1">
      <c r="A91" s="3" t="s">
        <v>91</v>
      </c>
      <c r="B91" s="4">
        <v>8.3000000000000007</v>
      </c>
      <c r="C91" s="7">
        <f ca="1">[1]!b_calc_curve_chinabond("1082",C$1,$B91)</f>
        <v>2.2208999999999999</v>
      </c>
      <c r="D91" s="7">
        <f ca="1">[1]!b_calc_curve_chinabond("1082",D$1,$B91)</f>
        <v>2.2126000000000001</v>
      </c>
      <c r="E91" s="7">
        <f ca="1">[1]!b_calc_curve_chinabond("1082",E$1,$B91)</f>
        <v>0</v>
      </c>
      <c r="F91" s="7">
        <f ca="1">[1]!b_calc_curve_chinabond("1082",F$1,$B91)</f>
        <v>0</v>
      </c>
      <c r="G91" s="7">
        <f ca="1">[1]!b_calc_curve_chinabond("1082",G$1,$B91)</f>
        <v>2.2117</v>
      </c>
      <c r="H91" s="7">
        <f ca="1">[1]!b_calc_curve_chinabond("1082",H$1,$B91)</f>
        <v>2.1869000000000001</v>
      </c>
      <c r="I91" s="7">
        <f ca="1">[1]!b_calc_curve_chinabond("1082",I$1,$B91)</f>
        <v>2.1869999999999998</v>
      </c>
      <c r="J91" s="7">
        <f ca="1">[1]!b_calc_curve_chinabond("1082",J$1,$B91)</f>
        <v>2.1791999999999998</v>
      </c>
      <c r="K91" s="7">
        <f ca="1">[1]!b_calc_curve_chinabond("1082",K$1,$B91)</f>
        <v>2.1678000000000002</v>
      </c>
      <c r="L91" s="7">
        <f ca="1">[1]!b_calc_curve_chinabond("1082",L$1,$B91)</f>
        <v>0</v>
      </c>
      <c r="M91" s="7">
        <f ca="1">[1]!b_calc_curve_chinabond("1082",M$1,$B91)</f>
        <v>0</v>
      </c>
      <c r="N91" s="7">
        <f ca="1">[1]!b_calc_curve_chinabond("1082",N$1,$B91)</f>
        <v>2.1625000000000001</v>
      </c>
      <c r="O91" s="7">
        <f ca="1">[1]!b_calc_curve_chinabond("1082",O$1,$B91)</f>
        <v>2.1446999999999998</v>
      </c>
      <c r="P91" s="7">
        <f ca="1">[1]!b_calc_curve_chinabond("1082",P$1,$B91)</f>
        <v>2.1389999999999998</v>
      </c>
      <c r="Q91" s="7">
        <f ca="1">[1]!b_calc_curve_chinabond("1082",Q$1,$B91)</f>
        <v>2.1438999999999999</v>
      </c>
      <c r="R91" s="7">
        <f ca="1">[1]!b_calc_curve_chinabond("1082",R$1,$B91)</f>
        <v>2.13</v>
      </c>
      <c r="S91" s="7">
        <f ca="1">[1]!b_calc_curve_chinabond("1082",S$1,$B91)</f>
        <v>0</v>
      </c>
      <c r="T91" s="7">
        <f ca="1">[1]!b_calc_curve_chinabond("1082",T$1,$B91)</f>
        <v>0</v>
      </c>
      <c r="U91" s="7">
        <f ca="1">[1]!b_calc_curve_chinabond("1082",U$1,$B91)</f>
        <v>2.1533000000000002</v>
      </c>
      <c r="V91" s="7">
        <f ca="1">[1]!b_calc_curve_chinabond("1082",V$1,$B91)</f>
        <v>2.1762000000000001</v>
      </c>
      <c r="W91" s="7">
        <f ca="1">[1]!b_calc_curve_chinabond("1082",W$1,$B91)</f>
        <v>2.1989999999999998</v>
      </c>
      <c r="X91" s="7">
        <f ca="1">[1]!b_calc_curve_chinabond("1082",X$1,$B91)</f>
        <v>2.2157</v>
      </c>
      <c r="Y91" s="7">
        <f ca="1">[1]!b_calc_curve_chinabond("1082",Y$1,$B91)</f>
        <v>2.2273999999999998</v>
      </c>
      <c r="Z91" s="7">
        <f ca="1">[1]!b_calc_curve_chinabond("1082",Z$1,$B91)</f>
        <v>0</v>
      </c>
      <c r="AA91" s="7">
        <f ca="1">[1]!b_calc_curve_chinabond("1082",AA$1,$B91)</f>
        <v>0</v>
      </c>
      <c r="AB91" s="7">
        <f ca="1">[1]!b_calc_curve_chinabond("1082",AB$1,$B91)</f>
        <v>2.2221000000000002</v>
      </c>
      <c r="AC91" s="7">
        <f ca="1">[1]!b_calc_curve_chinabond("1082",AC$1,$B91)</f>
        <v>2.2143999999999999</v>
      </c>
      <c r="AD91" s="7">
        <f ca="1">[1]!b_calc_curve_chinabond("1082",AD$1,$B91)</f>
        <v>2.2057000000000002</v>
      </c>
      <c r="AE91" s="7">
        <f ca="1">[1]!b_calc_curve_chinabond("1082",AE$1,$B91)</f>
        <v>2.1949999999999998</v>
      </c>
      <c r="AF91" s="7">
        <f ca="1">[1]!b_calc_curve_chinabond("1082",AF$1,$B91)</f>
        <v>0</v>
      </c>
      <c r="AG91" s="7">
        <f ca="1">[1]!b_calc_curve_chinabond("1082",AG$1,$B91)</f>
        <v>0</v>
      </c>
      <c r="AH91" s="7">
        <f ca="1">[1]!b_calc_curve_chinabond("1082",AH$1,$B91)</f>
        <v>0</v>
      </c>
      <c r="AI91" s="7">
        <f ca="1">[1]!b_calc_curve_chinabond("1082",AI$1,$B91)</f>
        <v>0</v>
      </c>
    </row>
    <row r="92" spans="1:35" ht="19.5" customHeight="1">
      <c r="A92" s="1" t="s">
        <v>92</v>
      </c>
      <c r="B92" s="2">
        <v>8.4</v>
      </c>
      <c r="C92" s="7">
        <f ca="1">[1]!b_calc_curve_chinabond("1082",C$1,$B92)</f>
        <v>2.2302</v>
      </c>
      <c r="D92" s="7">
        <f ca="1">[1]!b_calc_curve_chinabond("1082",D$1,$B92)</f>
        <v>2.2227999999999999</v>
      </c>
      <c r="E92" s="7">
        <f ca="1">[1]!b_calc_curve_chinabond("1082",E$1,$B92)</f>
        <v>0</v>
      </c>
      <c r="F92" s="7">
        <f ca="1">[1]!b_calc_curve_chinabond("1082",F$1,$B92)</f>
        <v>0</v>
      </c>
      <c r="G92" s="7">
        <f ca="1">[1]!b_calc_curve_chinabond("1082",G$1,$B92)</f>
        <v>2.2212999999999998</v>
      </c>
      <c r="H92" s="7">
        <f ca="1">[1]!b_calc_curve_chinabond("1082",H$1,$B92)</f>
        <v>2.1978</v>
      </c>
      <c r="I92" s="7">
        <f ca="1">[1]!b_calc_curve_chinabond("1082",I$1,$B92)</f>
        <v>2.1972</v>
      </c>
      <c r="J92" s="7">
        <f ca="1">[1]!b_calc_curve_chinabond("1082",J$1,$B92)</f>
        <v>2.1890000000000001</v>
      </c>
      <c r="K92" s="7">
        <f ca="1">[1]!b_calc_curve_chinabond("1082",K$1,$B92)</f>
        <v>2.1789999999999998</v>
      </c>
      <c r="L92" s="7">
        <f ca="1">[1]!b_calc_curve_chinabond("1082",L$1,$B92)</f>
        <v>0</v>
      </c>
      <c r="M92" s="7">
        <f ca="1">[1]!b_calc_curve_chinabond("1082",M$1,$B92)</f>
        <v>0</v>
      </c>
      <c r="N92" s="7">
        <f ca="1">[1]!b_calc_curve_chinabond("1082",N$1,$B92)</f>
        <v>2.1738</v>
      </c>
      <c r="O92" s="7">
        <f ca="1">[1]!b_calc_curve_chinabond("1082",O$1,$B92)</f>
        <v>2.1549</v>
      </c>
      <c r="P92" s="7">
        <f ca="1">[1]!b_calc_curve_chinabond("1082",P$1,$B92)</f>
        <v>2.1505999999999998</v>
      </c>
      <c r="Q92" s="7">
        <f ca="1">[1]!b_calc_curve_chinabond("1082",Q$1,$B92)</f>
        <v>2.1549999999999998</v>
      </c>
      <c r="R92" s="7">
        <f ca="1">[1]!b_calc_curve_chinabond("1082",R$1,$B92)</f>
        <v>2.14</v>
      </c>
      <c r="S92" s="7">
        <f ca="1">[1]!b_calc_curve_chinabond("1082",S$1,$B92)</f>
        <v>0</v>
      </c>
      <c r="T92" s="7">
        <f ca="1">[1]!b_calc_curve_chinabond("1082",T$1,$B92)</f>
        <v>0</v>
      </c>
      <c r="U92" s="7">
        <f ca="1">[1]!b_calc_curve_chinabond("1082",U$1,$B92)</f>
        <v>2.1621000000000001</v>
      </c>
      <c r="V92" s="7">
        <f ca="1">[1]!b_calc_curve_chinabond("1082",V$1,$B92)</f>
        <v>2.1844000000000001</v>
      </c>
      <c r="W92" s="7">
        <f ca="1">[1]!b_calc_curve_chinabond("1082",W$1,$B92)</f>
        <v>2.2082000000000002</v>
      </c>
      <c r="X92" s="7">
        <f ca="1">[1]!b_calc_curve_chinabond("1082",X$1,$B92)</f>
        <v>2.2235999999999998</v>
      </c>
      <c r="Y92" s="7">
        <f ca="1">[1]!b_calc_curve_chinabond("1082",Y$1,$B92)</f>
        <v>2.2366999999999999</v>
      </c>
      <c r="Z92" s="7">
        <f ca="1">[1]!b_calc_curve_chinabond("1082",Z$1,$B92)</f>
        <v>0</v>
      </c>
      <c r="AA92" s="7">
        <f ca="1">[1]!b_calc_curve_chinabond("1082",AA$1,$B92)</f>
        <v>0</v>
      </c>
      <c r="AB92" s="7">
        <f ca="1">[1]!b_calc_curve_chinabond("1082",AB$1,$B92)</f>
        <v>2.2311000000000001</v>
      </c>
      <c r="AC92" s="7">
        <f ca="1">[1]!b_calc_curve_chinabond("1082",AC$1,$B92)</f>
        <v>2.2242999999999999</v>
      </c>
      <c r="AD92" s="7">
        <f ca="1">[1]!b_calc_curve_chinabond("1082",AD$1,$B92)</f>
        <v>2.2130000000000001</v>
      </c>
      <c r="AE92" s="7">
        <f ca="1">[1]!b_calc_curve_chinabond("1082",AE$1,$B92)</f>
        <v>2.2023000000000001</v>
      </c>
      <c r="AF92" s="7">
        <f ca="1">[1]!b_calc_curve_chinabond("1082",AF$1,$B92)</f>
        <v>0</v>
      </c>
      <c r="AG92" s="7">
        <f ca="1">[1]!b_calc_curve_chinabond("1082",AG$1,$B92)</f>
        <v>0</v>
      </c>
      <c r="AH92" s="7">
        <f ca="1">[1]!b_calc_curve_chinabond("1082",AH$1,$B92)</f>
        <v>0</v>
      </c>
      <c r="AI92" s="7">
        <f ca="1">[1]!b_calc_curve_chinabond("1082",AI$1,$B92)</f>
        <v>0</v>
      </c>
    </row>
    <row r="93" spans="1:35" ht="19.5" customHeight="1">
      <c r="A93" s="3" t="s">
        <v>93</v>
      </c>
      <c r="B93" s="4">
        <v>8.5</v>
      </c>
      <c r="C93" s="7">
        <f ca="1">[1]!b_calc_curve_chinabond("1082",C$1,$B93)</f>
        <v>2.2395999999999998</v>
      </c>
      <c r="D93" s="7">
        <f ca="1">[1]!b_calc_curve_chinabond("1082",D$1,$B93)</f>
        <v>2.2332999999999998</v>
      </c>
      <c r="E93" s="7">
        <f ca="1">[1]!b_calc_curve_chinabond("1082",E$1,$B93)</f>
        <v>0</v>
      </c>
      <c r="F93" s="7">
        <f ca="1">[1]!b_calc_curve_chinabond("1082",F$1,$B93)</f>
        <v>0</v>
      </c>
      <c r="G93" s="7">
        <f ca="1">[1]!b_calc_curve_chinabond("1082",G$1,$B93)</f>
        <v>2.2311000000000001</v>
      </c>
      <c r="H93" s="7">
        <f ca="1">[1]!b_calc_curve_chinabond("1082",H$1,$B93)</f>
        <v>2.2094</v>
      </c>
      <c r="I93" s="7">
        <f ca="1">[1]!b_calc_curve_chinabond("1082",I$1,$B93)</f>
        <v>2.2079</v>
      </c>
      <c r="J93" s="7">
        <f ca="1">[1]!b_calc_curve_chinabond("1082",J$1,$B93)</f>
        <v>2.1991999999999998</v>
      </c>
      <c r="K93" s="7">
        <f ca="1">[1]!b_calc_curve_chinabond("1082",K$1,$B93)</f>
        <v>2.1909000000000001</v>
      </c>
      <c r="L93" s="7">
        <f ca="1">[1]!b_calc_curve_chinabond("1082",L$1,$B93)</f>
        <v>0</v>
      </c>
      <c r="M93" s="7">
        <f ca="1">[1]!b_calc_curve_chinabond("1082",M$1,$B93)</f>
        <v>0</v>
      </c>
      <c r="N93" s="7">
        <f ca="1">[1]!b_calc_curve_chinabond("1082",N$1,$B93)</f>
        <v>2.1856</v>
      </c>
      <c r="O93" s="7">
        <f ca="1">[1]!b_calc_curve_chinabond("1082",O$1,$B93)</f>
        <v>2.1659000000000002</v>
      </c>
      <c r="P93" s="7">
        <f ca="1">[1]!b_calc_curve_chinabond("1082",P$1,$B93)</f>
        <v>2.1631</v>
      </c>
      <c r="Q93" s="7">
        <f ca="1">[1]!b_calc_curve_chinabond("1082",Q$1,$B93)</f>
        <v>2.1665999999999999</v>
      </c>
      <c r="R93" s="7">
        <f ca="1">[1]!b_calc_curve_chinabond("1082",R$1,$B93)</f>
        <v>2.1507000000000001</v>
      </c>
      <c r="S93" s="7">
        <f ca="1">[1]!b_calc_curve_chinabond("1082",S$1,$B93)</f>
        <v>0</v>
      </c>
      <c r="T93" s="7">
        <f ca="1">[1]!b_calc_curve_chinabond("1082",T$1,$B93)</f>
        <v>0</v>
      </c>
      <c r="U93" s="7">
        <f ca="1">[1]!b_calc_curve_chinabond("1082",U$1,$B93)</f>
        <v>2.1711999999999998</v>
      </c>
      <c r="V93" s="7">
        <f ca="1">[1]!b_calc_curve_chinabond("1082",V$1,$B93)</f>
        <v>2.1928999999999998</v>
      </c>
      <c r="W93" s="7">
        <f ca="1">[1]!b_calc_curve_chinabond("1082",W$1,$B93)</f>
        <v>2.2176</v>
      </c>
      <c r="X93" s="7">
        <f ca="1">[1]!b_calc_curve_chinabond("1082",X$1,$B93)</f>
        <v>2.2313999999999998</v>
      </c>
      <c r="Y93" s="7">
        <f ca="1">[1]!b_calc_curve_chinabond("1082",Y$1,$B93)</f>
        <v>2.2461000000000002</v>
      </c>
      <c r="Z93" s="7">
        <f ca="1">[1]!b_calc_curve_chinabond("1082",Z$1,$B93)</f>
        <v>0</v>
      </c>
      <c r="AA93" s="7">
        <f ca="1">[1]!b_calc_curve_chinabond("1082",AA$1,$B93)</f>
        <v>0</v>
      </c>
      <c r="AB93" s="7">
        <f ca="1">[1]!b_calc_curve_chinabond("1082",AB$1,$B93)</f>
        <v>2.2402000000000002</v>
      </c>
      <c r="AC93" s="7">
        <f ca="1">[1]!b_calc_curve_chinabond("1082",AC$1,$B93)</f>
        <v>2.2343999999999999</v>
      </c>
      <c r="AD93" s="7">
        <f ca="1">[1]!b_calc_curve_chinabond("1082",AD$1,$B93)</f>
        <v>2.2202999999999999</v>
      </c>
      <c r="AE93" s="7">
        <f ca="1">[1]!b_calc_curve_chinabond("1082",AE$1,$B93)</f>
        <v>2.2096</v>
      </c>
      <c r="AF93" s="7">
        <f ca="1">[1]!b_calc_curve_chinabond("1082",AF$1,$B93)</f>
        <v>0</v>
      </c>
      <c r="AG93" s="7">
        <f ca="1">[1]!b_calc_curve_chinabond("1082",AG$1,$B93)</f>
        <v>0</v>
      </c>
      <c r="AH93" s="7">
        <f ca="1">[1]!b_calc_curve_chinabond("1082",AH$1,$B93)</f>
        <v>0</v>
      </c>
      <c r="AI93" s="7">
        <f ca="1">[1]!b_calc_curve_chinabond("1082",AI$1,$B93)</f>
        <v>0</v>
      </c>
    </row>
    <row r="94" spans="1:35" ht="19.5" customHeight="1">
      <c r="A94" s="1" t="s">
        <v>94</v>
      </c>
      <c r="B94" s="2">
        <v>8.6</v>
      </c>
      <c r="C94" s="7">
        <f ca="1">[1]!b_calc_curve_chinabond("1082",C$1,$B94)</f>
        <v>2.2492000000000001</v>
      </c>
      <c r="D94" s="7">
        <f ca="1">[1]!b_calc_curve_chinabond("1082",D$1,$B94)</f>
        <v>2.2440000000000002</v>
      </c>
      <c r="E94" s="7">
        <f ca="1">[1]!b_calc_curve_chinabond("1082",E$1,$B94)</f>
        <v>0</v>
      </c>
      <c r="F94" s="7">
        <f ca="1">[1]!b_calc_curve_chinabond("1082",F$1,$B94)</f>
        <v>0</v>
      </c>
      <c r="G94" s="7">
        <f ca="1">[1]!b_calc_curve_chinabond("1082",G$1,$B94)</f>
        <v>2.2410999999999999</v>
      </c>
      <c r="H94" s="7">
        <f ca="1">[1]!b_calc_curve_chinabond("1082",H$1,$B94)</f>
        <v>2.2214</v>
      </c>
      <c r="I94" s="7">
        <f ca="1">[1]!b_calc_curve_chinabond("1082",I$1,$B94)</f>
        <v>2.2189999999999999</v>
      </c>
      <c r="J94" s="7">
        <f ca="1">[1]!b_calc_curve_chinabond("1082",J$1,$B94)</f>
        <v>2.2096</v>
      </c>
      <c r="K94" s="7">
        <f ca="1">[1]!b_calc_curve_chinabond("1082",K$1,$B94)</f>
        <v>2.2029000000000001</v>
      </c>
      <c r="L94" s="7">
        <f ca="1">[1]!b_calc_curve_chinabond("1082",L$1,$B94)</f>
        <v>0</v>
      </c>
      <c r="M94" s="7">
        <f ca="1">[1]!b_calc_curve_chinabond("1082",M$1,$B94)</f>
        <v>0</v>
      </c>
      <c r="N94" s="7">
        <f ca="1">[1]!b_calc_curve_chinabond("1082",N$1,$B94)</f>
        <v>2.1976</v>
      </c>
      <c r="O94" s="7">
        <f ca="1">[1]!b_calc_curve_chinabond("1082",O$1,$B94)</f>
        <v>2.1774</v>
      </c>
      <c r="P94" s="7">
        <f ca="1">[1]!b_calc_curve_chinabond("1082",P$1,$B94)</f>
        <v>2.1760000000000002</v>
      </c>
      <c r="Q94" s="7">
        <f ca="1">[1]!b_calc_curve_chinabond("1082",Q$1,$B94)</f>
        <v>2.1781999999999999</v>
      </c>
      <c r="R94" s="7">
        <f ca="1">[1]!b_calc_curve_chinabond("1082",R$1,$B94)</f>
        <v>2.1619000000000002</v>
      </c>
      <c r="S94" s="7">
        <f ca="1">[1]!b_calc_curve_chinabond("1082",S$1,$B94)</f>
        <v>0</v>
      </c>
      <c r="T94" s="7">
        <f ca="1">[1]!b_calc_curve_chinabond("1082",T$1,$B94)</f>
        <v>0</v>
      </c>
      <c r="U94" s="7">
        <f ca="1">[1]!b_calc_curve_chinabond("1082",U$1,$B94)</f>
        <v>2.1804999999999999</v>
      </c>
      <c r="V94" s="7">
        <f ca="1">[1]!b_calc_curve_chinabond("1082",V$1,$B94)</f>
        <v>2.2014999999999998</v>
      </c>
      <c r="W94" s="7">
        <f ca="1">[1]!b_calc_curve_chinabond("1082",W$1,$B94)</f>
        <v>2.2271000000000001</v>
      </c>
      <c r="X94" s="7">
        <f ca="1">[1]!b_calc_curve_chinabond("1082",X$1,$B94)</f>
        <v>2.2391000000000001</v>
      </c>
      <c r="Y94" s="7">
        <f ca="1">[1]!b_calc_curve_chinabond("1082",Y$1,$B94)</f>
        <v>2.2555000000000001</v>
      </c>
      <c r="Z94" s="7">
        <f ca="1">[1]!b_calc_curve_chinabond("1082",Z$1,$B94)</f>
        <v>0</v>
      </c>
      <c r="AA94" s="7">
        <f ca="1">[1]!b_calc_curve_chinabond("1082",AA$1,$B94)</f>
        <v>0</v>
      </c>
      <c r="AB94" s="7">
        <f ca="1">[1]!b_calc_curve_chinabond("1082",AB$1,$B94)</f>
        <v>2.2494000000000001</v>
      </c>
      <c r="AC94" s="7">
        <f ca="1">[1]!b_calc_curve_chinabond("1082",AC$1,$B94)</f>
        <v>2.2443</v>
      </c>
      <c r="AD94" s="7">
        <f ca="1">[1]!b_calc_curve_chinabond("1082",AD$1,$B94)</f>
        <v>2.2275999999999998</v>
      </c>
      <c r="AE94" s="7">
        <f ca="1">[1]!b_calc_curve_chinabond("1082",AE$1,$B94)</f>
        <v>2.2170999999999998</v>
      </c>
      <c r="AF94" s="7">
        <f ca="1">[1]!b_calc_curve_chinabond("1082",AF$1,$B94)</f>
        <v>0</v>
      </c>
      <c r="AG94" s="7">
        <f ca="1">[1]!b_calc_curve_chinabond("1082",AG$1,$B94)</f>
        <v>0</v>
      </c>
      <c r="AH94" s="7">
        <f ca="1">[1]!b_calc_curve_chinabond("1082",AH$1,$B94)</f>
        <v>0</v>
      </c>
      <c r="AI94" s="7">
        <f ca="1">[1]!b_calc_curve_chinabond("1082",AI$1,$B94)</f>
        <v>0</v>
      </c>
    </row>
    <row r="95" spans="1:35" ht="19.5" customHeight="1">
      <c r="A95" s="3" t="s">
        <v>95</v>
      </c>
      <c r="B95" s="4">
        <v>8.6999999999999993</v>
      </c>
      <c r="C95" s="7">
        <f ca="1">[1]!b_calc_curve_chinabond("1082",C$1,$B95)</f>
        <v>2.2587999999999999</v>
      </c>
      <c r="D95" s="7">
        <f ca="1">[1]!b_calc_curve_chinabond("1082",D$1,$B95)</f>
        <v>2.2549000000000001</v>
      </c>
      <c r="E95" s="7">
        <f ca="1">[1]!b_calc_curve_chinabond("1082",E$1,$B95)</f>
        <v>0</v>
      </c>
      <c r="F95" s="7">
        <f ca="1">[1]!b_calc_curve_chinabond("1082",F$1,$B95)</f>
        <v>0</v>
      </c>
      <c r="G95" s="7">
        <f ca="1">[1]!b_calc_curve_chinabond("1082",G$1,$B95)</f>
        <v>2.2511000000000001</v>
      </c>
      <c r="H95" s="7">
        <f ca="1">[1]!b_calc_curve_chinabond("1082",H$1,$B95)</f>
        <v>2.2336</v>
      </c>
      <c r="I95" s="7">
        <f ca="1">[1]!b_calc_curve_chinabond("1082",I$1,$B95)</f>
        <v>2.2302</v>
      </c>
      <c r="J95" s="7">
        <f ca="1">[1]!b_calc_curve_chinabond("1082",J$1,$B95)</f>
        <v>2.2202000000000002</v>
      </c>
      <c r="K95" s="7">
        <f ca="1">[1]!b_calc_curve_chinabond("1082",K$1,$B95)</f>
        <v>2.2147999999999999</v>
      </c>
      <c r="L95" s="7">
        <f ca="1">[1]!b_calc_curve_chinabond("1082",L$1,$B95)</f>
        <v>0</v>
      </c>
      <c r="M95" s="7">
        <f ca="1">[1]!b_calc_curve_chinabond("1082",M$1,$B95)</f>
        <v>0</v>
      </c>
      <c r="N95" s="7">
        <f ca="1">[1]!b_calc_curve_chinabond("1082",N$1,$B95)</f>
        <v>2.2092999999999998</v>
      </c>
      <c r="O95" s="7">
        <f ca="1">[1]!b_calc_curve_chinabond("1082",O$1,$B95)</f>
        <v>2.1892</v>
      </c>
      <c r="P95" s="7">
        <f ca="1">[1]!b_calc_curve_chinabond("1082",P$1,$B95)</f>
        <v>2.1886999999999999</v>
      </c>
      <c r="Q95" s="7">
        <f ca="1">[1]!b_calc_curve_chinabond("1082",Q$1,$B95)</f>
        <v>2.1894999999999998</v>
      </c>
      <c r="R95" s="7">
        <f ca="1">[1]!b_calc_curve_chinabond("1082",R$1,$B95)</f>
        <v>2.1732</v>
      </c>
      <c r="S95" s="7">
        <f ca="1">[1]!b_calc_curve_chinabond("1082",S$1,$B95)</f>
        <v>0</v>
      </c>
      <c r="T95" s="7">
        <f ca="1">[1]!b_calc_curve_chinabond("1082",T$1,$B95)</f>
        <v>0</v>
      </c>
      <c r="U95" s="7">
        <f ca="1">[1]!b_calc_curve_chinabond("1082",U$1,$B95)</f>
        <v>2.1898</v>
      </c>
      <c r="V95" s="7">
        <f ca="1">[1]!b_calc_curve_chinabond("1082",V$1,$B95)</f>
        <v>2.2103000000000002</v>
      </c>
      <c r="W95" s="7">
        <f ca="1">[1]!b_calc_curve_chinabond("1082",W$1,$B95)</f>
        <v>2.2364999999999999</v>
      </c>
      <c r="X95" s="7">
        <f ca="1">[1]!b_calc_curve_chinabond("1082",X$1,$B95)</f>
        <v>2.2467999999999999</v>
      </c>
      <c r="Y95" s="7">
        <f ca="1">[1]!b_calc_curve_chinabond("1082",Y$1,$B95)</f>
        <v>2.2646000000000002</v>
      </c>
      <c r="Z95" s="7">
        <f ca="1">[1]!b_calc_curve_chinabond("1082",Z$1,$B95)</f>
        <v>0</v>
      </c>
      <c r="AA95" s="7">
        <f ca="1">[1]!b_calc_curve_chinabond("1082",AA$1,$B95)</f>
        <v>0</v>
      </c>
      <c r="AB95" s="7">
        <f ca="1">[1]!b_calc_curve_chinabond("1082",AB$1,$B95)</f>
        <v>2.2585000000000002</v>
      </c>
      <c r="AC95" s="7">
        <f ca="1">[1]!b_calc_curve_chinabond("1082",AC$1,$B95)</f>
        <v>2.2538999999999998</v>
      </c>
      <c r="AD95" s="7">
        <f ca="1">[1]!b_calc_curve_chinabond("1082",AD$1,$B95)</f>
        <v>2.2349000000000001</v>
      </c>
      <c r="AE95" s="7">
        <f ca="1">[1]!b_calc_curve_chinabond("1082",AE$1,$B95)</f>
        <v>2.2246000000000001</v>
      </c>
      <c r="AF95" s="7">
        <f ca="1">[1]!b_calc_curve_chinabond("1082",AF$1,$B95)</f>
        <v>0</v>
      </c>
      <c r="AG95" s="7">
        <f ca="1">[1]!b_calc_curve_chinabond("1082",AG$1,$B95)</f>
        <v>0</v>
      </c>
      <c r="AH95" s="7">
        <f ca="1">[1]!b_calc_curve_chinabond("1082",AH$1,$B95)</f>
        <v>0</v>
      </c>
      <c r="AI95" s="7">
        <f ca="1">[1]!b_calc_curve_chinabond("1082",AI$1,$B95)</f>
        <v>0</v>
      </c>
    </row>
    <row r="96" spans="1:35" ht="19.5" customHeight="1">
      <c r="A96" s="1" t="s">
        <v>96</v>
      </c>
      <c r="B96" s="2">
        <v>8.8000000000000007</v>
      </c>
      <c r="C96" s="7">
        <f ca="1">[1]!b_calc_curve_chinabond("1082",C$1,$B96)</f>
        <v>2.2683</v>
      </c>
      <c r="D96" s="7">
        <f ca="1">[1]!b_calc_curve_chinabond("1082",D$1,$B96)</f>
        <v>2.2656999999999998</v>
      </c>
      <c r="E96" s="7">
        <f ca="1">[1]!b_calc_curve_chinabond("1082",E$1,$B96)</f>
        <v>0</v>
      </c>
      <c r="F96" s="7">
        <f ca="1">[1]!b_calc_curve_chinabond("1082",F$1,$B96)</f>
        <v>0</v>
      </c>
      <c r="G96" s="7">
        <f ca="1">[1]!b_calc_curve_chinabond("1082",G$1,$B96)</f>
        <v>2.2610000000000001</v>
      </c>
      <c r="H96" s="7">
        <f ca="1">[1]!b_calc_curve_chinabond("1082",H$1,$B96)</f>
        <v>2.2456</v>
      </c>
      <c r="I96" s="7">
        <f ca="1">[1]!b_calc_curve_chinabond("1082",I$1,$B96)</f>
        <v>2.2412999999999998</v>
      </c>
      <c r="J96" s="7">
        <f ca="1">[1]!b_calc_curve_chinabond("1082",J$1,$B96)</f>
        <v>2.2307000000000001</v>
      </c>
      <c r="K96" s="7">
        <f ca="1">[1]!b_calc_curve_chinabond("1082",K$1,$B96)</f>
        <v>2.2259000000000002</v>
      </c>
      <c r="L96" s="7">
        <f ca="1">[1]!b_calc_curve_chinabond("1082",L$1,$B96)</f>
        <v>0</v>
      </c>
      <c r="M96" s="7">
        <f ca="1">[1]!b_calc_curve_chinabond("1082",M$1,$B96)</f>
        <v>0</v>
      </c>
      <c r="N96" s="7">
        <f ca="1">[1]!b_calc_curve_chinabond("1082",N$1,$B96)</f>
        <v>2.2204000000000002</v>
      </c>
      <c r="O96" s="7">
        <f ca="1">[1]!b_calc_curve_chinabond("1082",O$1,$B96)</f>
        <v>2.2008999999999999</v>
      </c>
      <c r="P96" s="7">
        <f ca="1">[1]!b_calc_curve_chinabond("1082",P$1,$B96)</f>
        <v>2.2008000000000001</v>
      </c>
      <c r="Q96" s="7">
        <f ca="1">[1]!b_calc_curve_chinabond("1082",Q$1,$B96)</f>
        <v>2.2000000000000002</v>
      </c>
      <c r="R96" s="7">
        <f ca="1">[1]!b_calc_curve_chinabond("1082",R$1,$B96)</f>
        <v>2.1844999999999999</v>
      </c>
      <c r="S96" s="7">
        <f ca="1">[1]!b_calc_curve_chinabond("1082",S$1,$B96)</f>
        <v>0</v>
      </c>
      <c r="T96" s="7">
        <f ca="1">[1]!b_calc_curve_chinabond("1082",T$1,$B96)</f>
        <v>0</v>
      </c>
      <c r="U96" s="7">
        <f ca="1">[1]!b_calc_curve_chinabond("1082",U$1,$B96)</f>
        <v>2.1991999999999998</v>
      </c>
      <c r="V96" s="7">
        <f ca="1">[1]!b_calc_curve_chinabond("1082",V$1,$B96)</f>
        <v>2.2189000000000001</v>
      </c>
      <c r="W96" s="7">
        <f ca="1">[1]!b_calc_curve_chinabond("1082",W$1,$B96)</f>
        <v>2.2456</v>
      </c>
      <c r="X96" s="7">
        <f ca="1">[1]!b_calc_curve_chinabond("1082",X$1,$B96)</f>
        <v>2.2545000000000002</v>
      </c>
      <c r="Y96" s="7">
        <f ca="1">[1]!b_calc_curve_chinabond("1082",Y$1,$B96)</f>
        <v>2.2734999999999999</v>
      </c>
      <c r="Z96" s="7">
        <f ca="1">[1]!b_calc_curve_chinabond("1082",Z$1,$B96)</f>
        <v>0</v>
      </c>
      <c r="AA96" s="7">
        <f ca="1">[1]!b_calc_curve_chinabond("1082",AA$1,$B96)</f>
        <v>0</v>
      </c>
      <c r="AB96" s="7">
        <f ca="1">[1]!b_calc_curve_chinabond("1082",AB$1,$B96)</f>
        <v>2.2675000000000001</v>
      </c>
      <c r="AC96" s="7">
        <f ca="1">[1]!b_calc_curve_chinabond("1082",AC$1,$B96)</f>
        <v>2.2627000000000002</v>
      </c>
      <c r="AD96" s="7">
        <f ca="1">[1]!b_calc_curve_chinabond("1082",AD$1,$B96)</f>
        <v>2.2422</v>
      </c>
      <c r="AE96" s="7">
        <f ca="1">[1]!b_calc_curve_chinabond("1082",AE$1,$B96)</f>
        <v>2.2320000000000002</v>
      </c>
      <c r="AF96" s="7">
        <f ca="1">[1]!b_calc_curve_chinabond("1082",AF$1,$B96)</f>
        <v>0</v>
      </c>
      <c r="AG96" s="7">
        <f ca="1">[1]!b_calc_curve_chinabond("1082",AG$1,$B96)</f>
        <v>0</v>
      </c>
      <c r="AH96" s="7">
        <f ca="1">[1]!b_calc_curve_chinabond("1082",AH$1,$B96)</f>
        <v>0</v>
      </c>
      <c r="AI96" s="7">
        <f ca="1">[1]!b_calc_curve_chinabond("1082",AI$1,$B96)</f>
        <v>0</v>
      </c>
    </row>
    <row r="97" spans="1:35" ht="19.5" customHeight="1">
      <c r="A97" s="3" t="s">
        <v>97</v>
      </c>
      <c r="B97" s="4">
        <v>8.9</v>
      </c>
      <c r="C97" s="7">
        <f ca="1">[1]!b_calc_curve_chinabond("1082",C$1,$B97)</f>
        <v>2.2778</v>
      </c>
      <c r="D97" s="7">
        <f ca="1">[1]!b_calc_curve_chinabond("1082",D$1,$B97)</f>
        <v>2.2763</v>
      </c>
      <c r="E97" s="7">
        <f ca="1">[1]!b_calc_curve_chinabond("1082",E$1,$B97)</f>
        <v>0</v>
      </c>
      <c r="F97" s="7">
        <f ca="1">[1]!b_calc_curve_chinabond("1082",F$1,$B97)</f>
        <v>0</v>
      </c>
      <c r="G97" s="7">
        <f ca="1">[1]!b_calc_curve_chinabond("1082",G$1,$B97)</f>
        <v>2.2709000000000001</v>
      </c>
      <c r="H97" s="7">
        <f ca="1">[1]!b_calc_curve_chinabond("1082",H$1,$B97)</f>
        <v>2.2572000000000001</v>
      </c>
      <c r="I97" s="7">
        <f ca="1">[1]!b_calc_curve_chinabond("1082",I$1,$B97)</f>
        <v>2.2521</v>
      </c>
      <c r="J97" s="7">
        <f ca="1">[1]!b_calc_curve_chinabond("1082",J$1,$B97)</f>
        <v>2.2410000000000001</v>
      </c>
      <c r="K97" s="7">
        <f ca="1">[1]!b_calc_curve_chinabond("1082",K$1,$B97)</f>
        <v>2.2360000000000002</v>
      </c>
      <c r="L97" s="7">
        <f ca="1">[1]!b_calc_curve_chinabond("1082",L$1,$B97)</f>
        <v>0</v>
      </c>
      <c r="M97" s="7">
        <f ca="1">[1]!b_calc_curve_chinabond("1082",M$1,$B97)</f>
        <v>0</v>
      </c>
      <c r="N97" s="7">
        <f ca="1">[1]!b_calc_curve_chinabond("1082",N$1,$B97)</f>
        <v>2.2303999999999999</v>
      </c>
      <c r="O97" s="7">
        <f ca="1">[1]!b_calc_curve_chinabond("1082",O$1,$B97)</f>
        <v>2.2121</v>
      </c>
      <c r="P97" s="7">
        <f ca="1">[1]!b_calc_curve_chinabond("1082",P$1,$B97)</f>
        <v>2.2118000000000002</v>
      </c>
      <c r="Q97" s="7">
        <f ca="1">[1]!b_calc_curve_chinabond("1082",Q$1,$B97)</f>
        <v>2.2092999999999998</v>
      </c>
      <c r="R97" s="7">
        <f ca="1">[1]!b_calc_curve_chinabond("1082",R$1,$B97)</f>
        <v>2.1953999999999998</v>
      </c>
      <c r="S97" s="7">
        <f ca="1">[1]!b_calc_curve_chinabond("1082",S$1,$B97)</f>
        <v>0</v>
      </c>
      <c r="T97" s="7">
        <f ca="1">[1]!b_calc_curve_chinabond("1082",T$1,$B97)</f>
        <v>0</v>
      </c>
      <c r="U97" s="7">
        <f ca="1">[1]!b_calc_curve_chinabond("1082",U$1,$B97)</f>
        <v>2.2082999999999999</v>
      </c>
      <c r="V97" s="7">
        <f ca="1">[1]!b_calc_curve_chinabond("1082",V$1,$B97)</f>
        <v>2.2275</v>
      </c>
      <c r="W97" s="7">
        <f ca="1">[1]!b_calc_curve_chinabond("1082",W$1,$B97)</f>
        <v>2.2544</v>
      </c>
      <c r="X97" s="7">
        <f ca="1">[1]!b_calc_curve_chinabond("1082",X$1,$B97)</f>
        <v>2.2622</v>
      </c>
      <c r="Y97" s="7">
        <f ca="1">[1]!b_calc_curve_chinabond("1082",Y$1,$B97)</f>
        <v>2.282</v>
      </c>
      <c r="Z97" s="7">
        <f ca="1">[1]!b_calc_curve_chinabond("1082",Z$1,$B97)</f>
        <v>0</v>
      </c>
      <c r="AA97" s="7">
        <f ca="1">[1]!b_calc_curve_chinabond("1082",AA$1,$B97)</f>
        <v>0</v>
      </c>
      <c r="AB97" s="7">
        <f ca="1">[1]!b_calc_curve_chinabond("1082",AB$1,$B97)</f>
        <v>2.2761999999999998</v>
      </c>
      <c r="AC97" s="7">
        <f ca="1">[1]!b_calc_curve_chinabond("1082",AC$1,$B97)</f>
        <v>2.2705000000000002</v>
      </c>
      <c r="AD97" s="7">
        <f ca="1">[1]!b_calc_curve_chinabond("1082",AD$1,$B97)</f>
        <v>2.2496</v>
      </c>
      <c r="AE97" s="7">
        <f ca="1">[1]!b_calc_curve_chinabond("1082",AE$1,$B97)</f>
        <v>2.2393999999999998</v>
      </c>
      <c r="AF97" s="7">
        <f ca="1">[1]!b_calc_curve_chinabond("1082",AF$1,$B97)</f>
        <v>0</v>
      </c>
      <c r="AG97" s="7">
        <f ca="1">[1]!b_calc_curve_chinabond("1082",AG$1,$B97)</f>
        <v>0</v>
      </c>
      <c r="AH97" s="7">
        <f ca="1">[1]!b_calc_curve_chinabond("1082",AH$1,$B97)</f>
        <v>0</v>
      </c>
      <c r="AI97" s="7">
        <f ca="1">[1]!b_calc_curve_chinabond("1082",AI$1,$B97)</f>
        <v>0</v>
      </c>
    </row>
    <row r="98" spans="1:35" ht="19.5" customHeight="1">
      <c r="A98" s="1" t="s">
        <v>98</v>
      </c>
      <c r="B98" s="2">
        <v>9</v>
      </c>
      <c r="C98" s="7">
        <f ca="1">[1]!b_calc_curve_chinabond("1082",C$1,$B98)</f>
        <v>2.2871999999999999</v>
      </c>
      <c r="D98" s="7">
        <f ca="1">[1]!b_calc_curve_chinabond("1082",D$1,$B98)</f>
        <v>2.2866</v>
      </c>
      <c r="E98" s="7">
        <f ca="1">[1]!b_calc_curve_chinabond("1082",E$1,$B98)</f>
        <v>0</v>
      </c>
      <c r="F98" s="7">
        <f ca="1">[1]!b_calc_curve_chinabond("1082",F$1,$B98)</f>
        <v>0</v>
      </c>
      <c r="G98" s="7">
        <f ca="1">[1]!b_calc_curve_chinabond("1082",G$1,$B98)</f>
        <v>2.2806000000000002</v>
      </c>
      <c r="H98" s="7">
        <f ca="1">[1]!b_calc_curve_chinabond("1082",H$1,$B98)</f>
        <v>2.2681</v>
      </c>
      <c r="I98" s="7">
        <f ca="1">[1]!b_calc_curve_chinabond("1082",I$1,$B98)</f>
        <v>2.2625000000000002</v>
      </c>
      <c r="J98" s="7">
        <f ca="1">[1]!b_calc_curve_chinabond("1082",J$1,$B98)</f>
        <v>2.2509000000000001</v>
      </c>
      <c r="K98" s="7">
        <f ca="1">[1]!b_calc_curve_chinabond("1082",K$1,$B98)</f>
        <v>2.2446000000000002</v>
      </c>
      <c r="L98" s="7">
        <f ca="1">[1]!b_calc_curve_chinabond("1082",L$1,$B98)</f>
        <v>0</v>
      </c>
      <c r="M98" s="7">
        <f ca="1">[1]!b_calc_curve_chinabond("1082",M$1,$B98)</f>
        <v>0</v>
      </c>
      <c r="N98" s="7">
        <f ca="1">[1]!b_calc_curve_chinabond("1082",N$1,$B98)</f>
        <v>2.2389000000000001</v>
      </c>
      <c r="O98" s="7">
        <f ca="1">[1]!b_calc_curve_chinabond("1082",O$1,$B98)</f>
        <v>2.2225999999999999</v>
      </c>
      <c r="P98" s="7">
        <f ca="1">[1]!b_calc_curve_chinabond("1082",P$1,$B98)</f>
        <v>2.2212000000000001</v>
      </c>
      <c r="Q98" s="7">
        <f ca="1">[1]!b_calc_curve_chinabond("1082",Q$1,$B98)</f>
        <v>2.2170000000000001</v>
      </c>
      <c r="R98" s="7">
        <f ca="1">[1]!b_calc_curve_chinabond("1082",R$1,$B98)</f>
        <v>2.2056</v>
      </c>
      <c r="S98" s="7">
        <f ca="1">[1]!b_calc_curve_chinabond("1082",S$1,$B98)</f>
        <v>0</v>
      </c>
      <c r="T98" s="7">
        <f ca="1">[1]!b_calc_curve_chinabond("1082",T$1,$B98)</f>
        <v>0</v>
      </c>
      <c r="U98" s="7">
        <f ca="1">[1]!b_calc_curve_chinabond("1082",U$1,$B98)</f>
        <v>2.2172000000000001</v>
      </c>
      <c r="V98" s="7">
        <f ca="1">[1]!b_calc_curve_chinabond("1082",V$1,$B98)</f>
        <v>2.2357999999999998</v>
      </c>
      <c r="W98" s="7">
        <f ca="1">[1]!b_calc_curve_chinabond("1082",W$1,$B98)</f>
        <v>2.2627000000000002</v>
      </c>
      <c r="X98" s="7">
        <f ca="1">[1]!b_calc_curve_chinabond("1082",X$1,$B98)</f>
        <v>2.2700999999999998</v>
      </c>
      <c r="Y98" s="7">
        <f ca="1">[1]!b_calc_curve_chinabond("1082",Y$1,$B98)</f>
        <v>2.29</v>
      </c>
      <c r="Z98" s="7">
        <f ca="1">[1]!b_calc_curve_chinabond("1082",Z$1,$B98)</f>
        <v>0</v>
      </c>
      <c r="AA98" s="7">
        <f ca="1">[1]!b_calc_curve_chinabond("1082",AA$1,$B98)</f>
        <v>0</v>
      </c>
      <c r="AB98" s="7">
        <f ca="1">[1]!b_calc_curve_chinabond("1082",AB$1,$B98)</f>
        <v>2.2845</v>
      </c>
      <c r="AC98" s="7">
        <f ca="1">[1]!b_calc_curve_chinabond("1082",AC$1,$B98)</f>
        <v>2.2770000000000001</v>
      </c>
      <c r="AD98" s="7">
        <f ca="1">[1]!b_calc_curve_chinabond("1082",AD$1,$B98)</f>
        <v>2.2568999999999999</v>
      </c>
      <c r="AE98" s="7">
        <f ca="1">[1]!b_calc_curve_chinabond("1082",AE$1,$B98)</f>
        <v>2.2467000000000001</v>
      </c>
      <c r="AF98" s="7">
        <f ca="1">[1]!b_calc_curve_chinabond("1082",AF$1,$B98)</f>
        <v>0</v>
      </c>
      <c r="AG98" s="7">
        <f ca="1">[1]!b_calc_curve_chinabond("1082",AG$1,$B98)</f>
        <v>0</v>
      </c>
      <c r="AH98" s="7">
        <f ca="1">[1]!b_calc_curve_chinabond("1082",AH$1,$B98)</f>
        <v>0</v>
      </c>
      <c r="AI98" s="7">
        <f ca="1">[1]!b_calc_curve_chinabond("1082",AI$1,$B98)</f>
        <v>0</v>
      </c>
    </row>
    <row r="99" spans="1:35" ht="19.5" customHeight="1">
      <c r="A99" s="3" t="s">
        <v>99</v>
      </c>
      <c r="B99" s="4">
        <v>9.1</v>
      </c>
      <c r="C99" s="7">
        <f ca="1">[1]!b_calc_curve_chinabond("1082",C$1,$B99)</f>
        <v>2.2953999999999999</v>
      </c>
      <c r="D99" s="7">
        <f ca="1">[1]!b_calc_curve_chinabond("1082",D$1,$B99)</f>
        <v>2.2955000000000001</v>
      </c>
      <c r="E99" s="7">
        <f ca="1">[1]!b_calc_curve_chinabond("1082",E$1,$B99)</f>
        <v>0</v>
      </c>
      <c r="F99" s="7">
        <f ca="1">[1]!b_calc_curve_chinabond("1082",F$1,$B99)</f>
        <v>0</v>
      </c>
      <c r="G99" s="7">
        <f ca="1">[1]!b_calc_curve_chinabond("1082",G$1,$B99)</f>
        <v>2.2892000000000001</v>
      </c>
      <c r="H99" s="7">
        <f ca="1">[1]!b_calc_curve_chinabond("1082",H$1,$B99)</f>
        <v>2.2772999999999999</v>
      </c>
      <c r="I99" s="7">
        <f ca="1">[1]!b_calc_curve_chinabond("1082",I$1,$B99)</f>
        <v>2.2713999999999999</v>
      </c>
      <c r="J99" s="7">
        <f ca="1">[1]!b_calc_curve_chinabond("1082",J$1,$B99)</f>
        <v>2.2593999999999999</v>
      </c>
      <c r="K99" s="7">
        <f ca="1">[1]!b_calc_curve_chinabond("1082",K$1,$B99)</f>
        <v>2.2513999999999998</v>
      </c>
      <c r="L99" s="7">
        <f ca="1">[1]!b_calc_curve_chinabond("1082",L$1,$B99)</f>
        <v>0</v>
      </c>
      <c r="M99" s="7">
        <f ca="1">[1]!b_calc_curve_chinabond("1082",M$1,$B99)</f>
        <v>0</v>
      </c>
      <c r="N99" s="7">
        <f ca="1">[1]!b_calc_curve_chinabond("1082",N$1,$B99)</f>
        <v>2.2456</v>
      </c>
      <c r="O99" s="7">
        <f ca="1">[1]!b_calc_curve_chinabond("1082",O$1,$B99)</f>
        <v>2.2313999999999998</v>
      </c>
      <c r="P99" s="7">
        <f ca="1">[1]!b_calc_curve_chinabond("1082",P$1,$B99)</f>
        <v>2.2286000000000001</v>
      </c>
      <c r="Q99" s="7">
        <f ca="1">[1]!b_calc_curve_chinabond("1082",Q$1,$B99)</f>
        <v>2.2229999999999999</v>
      </c>
      <c r="R99" s="7">
        <f ca="1">[1]!b_calc_curve_chinabond("1082",R$1,$B99)</f>
        <v>2.2143000000000002</v>
      </c>
      <c r="S99" s="7">
        <f ca="1">[1]!b_calc_curve_chinabond("1082",S$1,$B99)</f>
        <v>0</v>
      </c>
      <c r="T99" s="7">
        <f ca="1">[1]!b_calc_curve_chinabond("1082",T$1,$B99)</f>
        <v>0</v>
      </c>
      <c r="U99" s="7">
        <f ca="1">[1]!b_calc_curve_chinabond("1082",U$1,$B99)</f>
        <v>2.2248999999999999</v>
      </c>
      <c r="V99" s="7">
        <f ca="1">[1]!b_calc_curve_chinabond("1082",V$1,$B99)</f>
        <v>2.2431000000000001</v>
      </c>
      <c r="W99" s="7">
        <f ca="1">[1]!b_calc_curve_chinabond("1082",W$1,$B99)</f>
        <v>2.2696999999999998</v>
      </c>
      <c r="X99" s="7">
        <f ca="1">[1]!b_calc_curve_chinabond("1082",X$1,$B99)</f>
        <v>2.2774999999999999</v>
      </c>
      <c r="Y99" s="7">
        <f ca="1">[1]!b_calc_curve_chinabond("1082",Y$1,$B99)</f>
        <v>2.2967</v>
      </c>
      <c r="Z99" s="7">
        <f ca="1">[1]!b_calc_curve_chinabond("1082",Z$1,$B99)</f>
        <v>0</v>
      </c>
      <c r="AA99" s="7">
        <f ca="1">[1]!b_calc_curve_chinabond("1082",AA$1,$B99)</f>
        <v>0</v>
      </c>
      <c r="AB99" s="7">
        <f ca="1">[1]!b_calc_curve_chinabond("1082",AB$1,$B99)</f>
        <v>2.2915999999999999</v>
      </c>
      <c r="AC99" s="7">
        <f ca="1">[1]!b_calc_curve_chinabond("1082",AC$1,$B99)</f>
        <v>2.2820999999999998</v>
      </c>
      <c r="AD99" s="7">
        <f ca="1">[1]!b_calc_curve_chinabond("1082",AD$1,$B99)</f>
        <v>2.2633999999999999</v>
      </c>
      <c r="AE99" s="7">
        <f ca="1">[1]!b_calc_curve_chinabond("1082",AE$1,$B99)</f>
        <v>2.2532000000000001</v>
      </c>
      <c r="AF99" s="7">
        <f ca="1">[1]!b_calc_curve_chinabond("1082",AF$1,$B99)</f>
        <v>0</v>
      </c>
      <c r="AG99" s="7">
        <f ca="1">[1]!b_calc_curve_chinabond("1082",AG$1,$B99)</f>
        <v>0</v>
      </c>
      <c r="AH99" s="7">
        <f ca="1">[1]!b_calc_curve_chinabond("1082",AH$1,$B99)</f>
        <v>0</v>
      </c>
      <c r="AI99" s="7">
        <f ca="1">[1]!b_calc_curve_chinabond("1082",AI$1,$B99)</f>
        <v>0</v>
      </c>
    </row>
    <row r="100" spans="1:35" ht="19.5" customHeight="1">
      <c r="A100" s="1" t="s">
        <v>100</v>
      </c>
      <c r="B100" s="2">
        <v>9.1999999999999993</v>
      </c>
      <c r="C100" s="7">
        <f ca="1">[1]!b_calc_curve_chinabond("1082",C$1,$B100)</f>
        <v>2.3016999999999999</v>
      </c>
      <c r="D100" s="7">
        <f ca="1">[1]!b_calc_curve_chinabond("1082",D$1,$B100)</f>
        <v>2.3024</v>
      </c>
      <c r="E100" s="7">
        <f ca="1">[1]!b_calc_curve_chinabond("1082",E$1,$B100)</f>
        <v>0</v>
      </c>
      <c r="F100" s="7">
        <f ca="1">[1]!b_calc_curve_chinabond("1082",F$1,$B100)</f>
        <v>0</v>
      </c>
      <c r="G100" s="7">
        <f ca="1">[1]!b_calc_curve_chinabond("1082",G$1,$B100)</f>
        <v>2.2959999999999998</v>
      </c>
      <c r="H100" s="7">
        <f ca="1">[1]!b_calc_curve_chinabond("1082",H$1,$B100)</f>
        <v>2.2841999999999998</v>
      </c>
      <c r="I100" s="7">
        <f ca="1">[1]!b_calc_curve_chinabond("1082",I$1,$B100)</f>
        <v>2.278</v>
      </c>
      <c r="J100" s="7">
        <f ca="1">[1]!b_calc_curve_chinabond("1082",J$1,$B100)</f>
        <v>2.2658999999999998</v>
      </c>
      <c r="K100" s="7">
        <f ca="1">[1]!b_calc_curve_chinabond("1082",K$1,$B100)</f>
        <v>2.2566000000000002</v>
      </c>
      <c r="L100" s="7">
        <f ca="1">[1]!b_calc_curve_chinabond("1082",L$1,$B100)</f>
        <v>0</v>
      </c>
      <c r="M100" s="7">
        <f ca="1">[1]!b_calc_curve_chinabond("1082",M$1,$B100)</f>
        <v>0</v>
      </c>
      <c r="N100" s="7">
        <f ca="1">[1]!b_calc_curve_chinabond("1082",N$1,$B100)</f>
        <v>2.2507000000000001</v>
      </c>
      <c r="O100" s="7">
        <f ca="1">[1]!b_calc_curve_chinabond("1082",O$1,$B100)</f>
        <v>2.2382</v>
      </c>
      <c r="P100" s="7">
        <f ca="1">[1]!b_calc_curve_chinabond("1082",P$1,$B100)</f>
        <v>2.2342</v>
      </c>
      <c r="Q100" s="7">
        <f ca="1">[1]!b_calc_curve_chinabond("1082",Q$1,$B100)</f>
        <v>2.2275999999999998</v>
      </c>
      <c r="R100" s="7">
        <f ca="1">[1]!b_calc_curve_chinabond("1082",R$1,$B100)</f>
        <v>2.2208000000000001</v>
      </c>
      <c r="S100" s="7">
        <f ca="1">[1]!b_calc_curve_chinabond("1082",S$1,$B100)</f>
        <v>0</v>
      </c>
      <c r="T100" s="7">
        <f ca="1">[1]!b_calc_curve_chinabond("1082",T$1,$B100)</f>
        <v>0</v>
      </c>
      <c r="U100" s="7">
        <f ca="1">[1]!b_calc_curve_chinabond("1082",U$1,$B100)</f>
        <v>2.2307999999999999</v>
      </c>
      <c r="V100" s="7">
        <f ca="1">[1]!b_calc_curve_chinabond("1082",V$1,$B100)</f>
        <v>2.2486999999999999</v>
      </c>
      <c r="W100" s="7">
        <f ca="1">[1]!b_calc_curve_chinabond("1082",W$1,$B100)</f>
        <v>2.2749999999999999</v>
      </c>
      <c r="X100" s="7">
        <f ca="1">[1]!b_calc_curve_chinabond("1082",X$1,$B100)</f>
        <v>2.2839</v>
      </c>
      <c r="Y100" s="7">
        <f ca="1">[1]!b_calc_curve_chinabond("1082",Y$1,$B100)</f>
        <v>2.3018000000000001</v>
      </c>
      <c r="Z100" s="7">
        <f ca="1">[1]!b_calc_curve_chinabond("1082",Z$1,$B100)</f>
        <v>0</v>
      </c>
      <c r="AA100" s="7">
        <f ca="1">[1]!b_calc_curve_chinabond("1082",AA$1,$B100)</f>
        <v>0</v>
      </c>
      <c r="AB100" s="7">
        <f ca="1">[1]!b_calc_curve_chinabond("1082",AB$1,$B100)</f>
        <v>2.2970000000000002</v>
      </c>
      <c r="AC100" s="7">
        <f ca="1">[1]!b_calc_curve_chinabond("1082",AC$1,$B100)</f>
        <v>2.2860999999999998</v>
      </c>
      <c r="AD100" s="7">
        <f ca="1">[1]!b_calc_curve_chinabond("1082",AD$1,$B100)</f>
        <v>2.2684000000000002</v>
      </c>
      <c r="AE100" s="7">
        <f ca="1">[1]!b_calc_curve_chinabond("1082",AE$1,$B100)</f>
        <v>2.2584</v>
      </c>
      <c r="AF100" s="7">
        <f ca="1">[1]!b_calc_curve_chinabond("1082",AF$1,$B100)</f>
        <v>0</v>
      </c>
      <c r="AG100" s="7">
        <f ca="1">[1]!b_calc_curve_chinabond("1082",AG$1,$B100)</f>
        <v>0</v>
      </c>
      <c r="AH100" s="7">
        <f ca="1">[1]!b_calc_curve_chinabond("1082",AH$1,$B100)</f>
        <v>0</v>
      </c>
      <c r="AI100" s="7">
        <f ca="1">[1]!b_calc_curve_chinabond("1082",AI$1,$B100)</f>
        <v>0</v>
      </c>
    </row>
    <row r="101" spans="1:35" ht="19.5" customHeight="1">
      <c r="A101" s="3" t="s">
        <v>101</v>
      </c>
      <c r="B101" s="4">
        <v>9.3000000000000007</v>
      </c>
      <c r="C101" s="7">
        <f ca="1">[1]!b_calc_curve_chinabond("1082",C$1,$B101)</f>
        <v>2.3066</v>
      </c>
      <c r="D101" s="7">
        <f ca="1">[1]!b_calc_curve_chinabond("1082",D$1,$B101)</f>
        <v>2.3075999999999999</v>
      </c>
      <c r="E101" s="7">
        <f ca="1">[1]!b_calc_curve_chinabond("1082",E$1,$B101)</f>
        <v>0</v>
      </c>
      <c r="F101" s="7">
        <f ca="1">[1]!b_calc_curve_chinabond("1082",F$1,$B101)</f>
        <v>0</v>
      </c>
      <c r="G101" s="7">
        <f ca="1">[1]!b_calc_curve_chinabond("1082",G$1,$B101)</f>
        <v>2.3014000000000001</v>
      </c>
      <c r="H101" s="7">
        <f ca="1">[1]!b_calc_curve_chinabond("1082",H$1,$B101)</f>
        <v>2.2892000000000001</v>
      </c>
      <c r="I101" s="7">
        <f ca="1">[1]!b_calc_curve_chinabond("1082",I$1,$B101)</f>
        <v>2.2829000000000002</v>
      </c>
      <c r="J101" s="7">
        <f ca="1">[1]!b_calc_curve_chinabond("1082",J$1,$B101)</f>
        <v>2.2707000000000002</v>
      </c>
      <c r="K101" s="7">
        <f ca="1">[1]!b_calc_curve_chinabond("1082",K$1,$B101)</f>
        <v>2.2604000000000002</v>
      </c>
      <c r="L101" s="7">
        <f ca="1">[1]!b_calc_curve_chinabond("1082",L$1,$B101)</f>
        <v>0</v>
      </c>
      <c r="M101" s="7">
        <f ca="1">[1]!b_calc_curve_chinabond("1082",M$1,$B101)</f>
        <v>0</v>
      </c>
      <c r="N101" s="7">
        <f ca="1">[1]!b_calc_curve_chinabond("1082",N$1,$B101)</f>
        <v>2.2545000000000002</v>
      </c>
      <c r="O101" s="7">
        <f ca="1">[1]!b_calc_curve_chinabond("1082",O$1,$B101)</f>
        <v>2.2431999999999999</v>
      </c>
      <c r="P101" s="7">
        <f ca="1">[1]!b_calc_curve_chinabond("1082",P$1,$B101)</f>
        <v>2.2383999999999999</v>
      </c>
      <c r="Q101" s="7">
        <f ca="1">[1]!b_calc_curve_chinabond("1082",Q$1,$B101)</f>
        <v>2.2309999999999999</v>
      </c>
      <c r="R101" s="7">
        <f ca="1">[1]!b_calc_curve_chinabond("1082",R$1,$B101)</f>
        <v>2.2254999999999998</v>
      </c>
      <c r="S101" s="7">
        <f ca="1">[1]!b_calc_curve_chinabond("1082",S$1,$B101)</f>
        <v>0</v>
      </c>
      <c r="T101" s="7">
        <f ca="1">[1]!b_calc_curve_chinabond("1082",T$1,$B101)</f>
        <v>0</v>
      </c>
      <c r="U101" s="7">
        <f ca="1">[1]!b_calc_curve_chinabond("1082",U$1,$B101)</f>
        <v>2.2351999999999999</v>
      </c>
      <c r="V101" s="7">
        <f ca="1">[1]!b_calc_curve_chinabond("1082",V$1,$B101)</f>
        <v>2.2528999999999999</v>
      </c>
      <c r="W101" s="7">
        <f ca="1">[1]!b_calc_curve_chinabond("1082",W$1,$B101)</f>
        <v>2.2789000000000001</v>
      </c>
      <c r="X101" s="7">
        <f ca="1">[1]!b_calc_curve_chinabond("1082",X$1,$B101)</f>
        <v>2.2894000000000001</v>
      </c>
      <c r="Y101" s="7">
        <f ca="1">[1]!b_calc_curve_chinabond("1082",Y$1,$B101)</f>
        <v>2.3056000000000001</v>
      </c>
      <c r="Z101" s="7">
        <f ca="1">[1]!b_calc_curve_chinabond("1082",Z$1,$B101)</f>
        <v>0</v>
      </c>
      <c r="AA101" s="7">
        <f ca="1">[1]!b_calc_curve_chinabond("1082",AA$1,$B101)</f>
        <v>0</v>
      </c>
      <c r="AB101" s="7">
        <f ca="1">[1]!b_calc_curve_chinabond("1082",AB$1,$B101)</f>
        <v>2.3008999999999999</v>
      </c>
      <c r="AC101" s="7">
        <f ca="1">[1]!b_calc_curve_chinabond("1082",AC$1,$B101)</f>
        <v>2.2888999999999999</v>
      </c>
      <c r="AD101" s="7">
        <f ca="1">[1]!b_calc_curve_chinabond("1082",AD$1,$B101)</f>
        <v>2.2721</v>
      </c>
      <c r="AE101" s="7">
        <f ca="1">[1]!b_calc_curve_chinabond("1082",AE$1,$B101)</f>
        <v>2.2625000000000002</v>
      </c>
      <c r="AF101" s="7">
        <f ca="1">[1]!b_calc_curve_chinabond("1082",AF$1,$B101)</f>
        <v>0</v>
      </c>
      <c r="AG101" s="7">
        <f ca="1">[1]!b_calc_curve_chinabond("1082",AG$1,$B101)</f>
        <v>0</v>
      </c>
      <c r="AH101" s="7">
        <f ca="1">[1]!b_calc_curve_chinabond("1082",AH$1,$B101)</f>
        <v>0</v>
      </c>
      <c r="AI101" s="7">
        <f ca="1">[1]!b_calc_curve_chinabond("1082",AI$1,$B101)</f>
        <v>0</v>
      </c>
    </row>
    <row r="102" spans="1:35" ht="19.5" customHeight="1">
      <c r="A102" s="1" t="s">
        <v>102</v>
      </c>
      <c r="B102" s="2">
        <v>9.4</v>
      </c>
      <c r="C102" s="7">
        <f ca="1">[1]!b_calc_curve_chinabond("1082",C$1,$B102)</f>
        <v>2.3102</v>
      </c>
      <c r="D102" s="7">
        <f ca="1">[1]!b_calc_curve_chinabond("1082",D$1,$B102)</f>
        <v>2.3113999999999999</v>
      </c>
      <c r="E102" s="7">
        <f ca="1">[1]!b_calc_curve_chinabond("1082",E$1,$B102)</f>
        <v>0</v>
      </c>
      <c r="F102" s="7">
        <f ca="1">[1]!b_calc_curve_chinabond("1082",F$1,$B102)</f>
        <v>0</v>
      </c>
      <c r="G102" s="7">
        <f ca="1">[1]!b_calc_curve_chinabond("1082",G$1,$B102)</f>
        <v>2.3056999999999999</v>
      </c>
      <c r="H102" s="7">
        <f ca="1">[1]!b_calc_curve_chinabond("1082",H$1,$B102)</f>
        <v>2.2928000000000002</v>
      </c>
      <c r="I102" s="7">
        <f ca="1">[1]!b_calc_curve_chinabond("1082",I$1,$B102)</f>
        <v>2.2863000000000002</v>
      </c>
      <c r="J102" s="7">
        <f ca="1">[1]!b_calc_curve_chinabond("1082",J$1,$B102)</f>
        <v>2.2740999999999998</v>
      </c>
      <c r="K102" s="7">
        <f ca="1">[1]!b_calc_curve_chinabond("1082",K$1,$B102)</f>
        <v>2.2631000000000001</v>
      </c>
      <c r="L102" s="7">
        <f ca="1">[1]!b_calc_curve_chinabond("1082",L$1,$B102)</f>
        <v>0</v>
      </c>
      <c r="M102" s="7">
        <f ca="1">[1]!b_calc_curve_chinabond("1082",M$1,$B102)</f>
        <v>0</v>
      </c>
      <c r="N102" s="7">
        <f ca="1">[1]!b_calc_curve_chinabond("1082",N$1,$B102)</f>
        <v>2.2572000000000001</v>
      </c>
      <c r="O102" s="7">
        <f ca="1">[1]!b_calc_curve_chinabond("1082",O$1,$B102)</f>
        <v>2.2467999999999999</v>
      </c>
      <c r="P102" s="7">
        <f ca="1">[1]!b_calc_curve_chinabond("1082",P$1,$B102)</f>
        <v>2.2412999999999998</v>
      </c>
      <c r="Q102" s="7">
        <f ca="1">[1]!b_calc_curve_chinabond("1082",Q$1,$B102)</f>
        <v>2.2334000000000001</v>
      </c>
      <c r="R102" s="7">
        <f ca="1">[1]!b_calc_curve_chinabond("1082",R$1,$B102)</f>
        <v>2.2286999999999999</v>
      </c>
      <c r="S102" s="7">
        <f ca="1">[1]!b_calc_curve_chinabond("1082",S$1,$B102)</f>
        <v>0</v>
      </c>
      <c r="T102" s="7">
        <f ca="1">[1]!b_calc_curve_chinabond("1082",T$1,$B102)</f>
        <v>0</v>
      </c>
      <c r="U102" s="7">
        <f ca="1">[1]!b_calc_curve_chinabond("1082",U$1,$B102)</f>
        <v>2.2385000000000002</v>
      </c>
      <c r="V102" s="7">
        <f ca="1">[1]!b_calc_curve_chinabond("1082",V$1,$B102)</f>
        <v>2.2561</v>
      </c>
      <c r="W102" s="7">
        <f ca="1">[1]!b_calc_curve_chinabond("1082",W$1,$B102)</f>
        <v>2.2816000000000001</v>
      </c>
      <c r="X102" s="7">
        <f ca="1">[1]!b_calc_curve_chinabond("1082",X$1,$B102)</f>
        <v>2.2944</v>
      </c>
      <c r="Y102" s="7">
        <f ca="1">[1]!b_calc_curve_chinabond("1082",Y$1,$B102)</f>
        <v>2.3081999999999998</v>
      </c>
      <c r="Z102" s="7">
        <f ca="1">[1]!b_calc_curve_chinabond("1082",Z$1,$B102)</f>
        <v>0</v>
      </c>
      <c r="AA102" s="7">
        <f ca="1">[1]!b_calc_curve_chinabond("1082",AA$1,$B102)</f>
        <v>0</v>
      </c>
      <c r="AB102" s="7">
        <f ca="1">[1]!b_calc_curve_chinabond("1082",AB$1,$B102)</f>
        <v>2.3035999999999999</v>
      </c>
      <c r="AC102" s="7">
        <f ca="1">[1]!b_calc_curve_chinabond("1082",AC$1,$B102)</f>
        <v>2.2909999999999999</v>
      </c>
      <c r="AD102" s="7">
        <f ca="1">[1]!b_calc_curve_chinabond("1082",AD$1,$B102)</f>
        <v>2.2749000000000001</v>
      </c>
      <c r="AE102" s="7">
        <f ca="1">[1]!b_calc_curve_chinabond("1082",AE$1,$B102)</f>
        <v>2.2656999999999998</v>
      </c>
      <c r="AF102" s="7">
        <f ca="1">[1]!b_calc_curve_chinabond("1082",AF$1,$B102)</f>
        <v>0</v>
      </c>
      <c r="AG102" s="7">
        <f ca="1">[1]!b_calc_curve_chinabond("1082",AG$1,$B102)</f>
        <v>0</v>
      </c>
      <c r="AH102" s="7">
        <f ca="1">[1]!b_calc_curve_chinabond("1082",AH$1,$B102)</f>
        <v>0</v>
      </c>
      <c r="AI102" s="7">
        <f ca="1">[1]!b_calc_curve_chinabond("1082",AI$1,$B102)</f>
        <v>0</v>
      </c>
    </row>
    <row r="103" spans="1:35" ht="19.5" customHeight="1">
      <c r="A103" s="3" t="s">
        <v>103</v>
      </c>
      <c r="B103" s="4">
        <v>9.5</v>
      </c>
      <c r="C103" s="7">
        <f ca="1">[1]!b_calc_curve_chinabond("1082",C$1,$B103)</f>
        <v>2.3129</v>
      </c>
      <c r="D103" s="7">
        <f ca="1">[1]!b_calc_curve_chinabond("1082",D$1,$B103)</f>
        <v>2.3142999999999998</v>
      </c>
      <c r="E103" s="7">
        <f ca="1">[1]!b_calc_curve_chinabond("1082",E$1,$B103)</f>
        <v>0</v>
      </c>
      <c r="F103" s="7">
        <f ca="1">[1]!b_calc_curve_chinabond("1082",F$1,$B103)</f>
        <v>0</v>
      </c>
      <c r="G103" s="7">
        <f ca="1">[1]!b_calc_curve_chinabond("1082",G$1,$B103)</f>
        <v>2.3090999999999999</v>
      </c>
      <c r="H103" s="7">
        <f ca="1">[1]!b_calc_curve_chinabond("1082",H$1,$B103)</f>
        <v>2.2951999999999999</v>
      </c>
      <c r="I103" s="7">
        <f ca="1">[1]!b_calc_curve_chinabond("1082",I$1,$B103)</f>
        <v>2.2886000000000002</v>
      </c>
      <c r="J103" s="7">
        <f ca="1">[1]!b_calc_curve_chinabond("1082",J$1,$B103)</f>
        <v>2.2766000000000002</v>
      </c>
      <c r="K103" s="7">
        <f ca="1">[1]!b_calc_curve_chinabond("1082",K$1,$B103)</f>
        <v>2.2648999999999999</v>
      </c>
      <c r="L103" s="7">
        <f ca="1">[1]!b_calc_curve_chinabond("1082",L$1,$B103)</f>
        <v>0</v>
      </c>
      <c r="M103" s="7">
        <f ca="1">[1]!b_calc_curve_chinabond("1082",M$1,$B103)</f>
        <v>0</v>
      </c>
      <c r="N103" s="7">
        <f ca="1">[1]!b_calc_curve_chinabond("1082",N$1,$B103)</f>
        <v>2.2591000000000001</v>
      </c>
      <c r="O103" s="7">
        <f ca="1">[1]!b_calc_curve_chinabond("1082",O$1,$B103)</f>
        <v>2.2494000000000001</v>
      </c>
      <c r="P103" s="7">
        <f ca="1">[1]!b_calc_curve_chinabond("1082",P$1,$B103)</f>
        <v>2.2433000000000001</v>
      </c>
      <c r="Q103" s="7">
        <f ca="1">[1]!b_calc_curve_chinabond("1082",Q$1,$B103)</f>
        <v>2.2351000000000001</v>
      </c>
      <c r="R103" s="7">
        <f ca="1">[1]!b_calc_curve_chinabond("1082",R$1,$B103)</f>
        <v>2.2309999999999999</v>
      </c>
      <c r="S103" s="7">
        <f ca="1">[1]!b_calc_curve_chinabond("1082",S$1,$B103)</f>
        <v>0</v>
      </c>
      <c r="T103" s="7">
        <f ca="1">[1]!b_calc_curve_chinabond("1082",T$1,$B103)</f>
        <v>0</v>
      </c>
      <c r="U103" s="7">
        <f ca="1">[1]!b_calc_curve_chinabond("1082",U$1,$B103)</f>
        <v>2.2408999999999999</v>
      </c>
      <c r="V103" s="7">
        <f ca="1">[1]!b_calc_curve_chinabond("1082",V$1,$B103)</f>
        <v>2.2585000000000002</v>
      </c>
      <c r="W103" s="7">
        <f ca="1">[1]!b_calc_curve_chinabond("1082",W$1,$B103)</f>
        <v>2.2835000000000001</v>
      </c>
      <c r="X103" s="7">
        <f ca="1">[1]!b_calc_curve_chinabond("1082",X$1,$B103)</f>
        <v>2.2988</v>
      </c>
      <c r="Y103" s="7">
        <f ca="1">[1]!b_calc_curve_chinabond("1082",Y$1,$B103)</f>
        <v>2.31</v>
      </c>
      <c r="Z103" s="7">
        <f ca="1">[1]!b_calc_curve_chinabond("1082",Z$1,$B103)</f>
        <v>0</v>
      </c>
      <c r="AA103" s="7">
        <f ca="1">[1]!b_calc_curve_chinabond("1082",AA$1,$B103)</f>
        <v>0</v>
      </c>
      <c r="AB103" s="7">
        <f ca="1">[1]!b_calc_curve_chinabond("1082",AB$1,$B103)</f>
        <v>2.3054999999999999</v>
      </c>
      <c r="AC103" s="7">
        <f ca="1">[1]!b_calc_curve_chinabond("1082",AC$1,$B103)</f>
        <v>2.2925</v>
      </c>
      <c r="AD103" s="7">
        <f ca="1">[1]!b_calc_curve_chinabond("1082",AD$1,$B103)</f>
        <v>2.2770000000000001</v>
      </c>
      <c r="AE103" s="7">
        <f ca="1">[1]!b_calc_curve_chinabond("1082",AE$1,$B103)</f>
        <v>2.2683</v>
      </c>
      <c r="AF103" s="7">
        <f ca="1">[1]!b_calc_curve_chinabond("1082",AF$1,$B103)</f>
        <v>0</v>
      </c>
      <c r="AG103" s="7">
        <f ca="1">[1]!b_calc_curve_chinabond("1082",AG$1,$B103)</f>
        <v>0</v>
      </c>
      <c r="AH103" s="7">
        <f ca="1">[1]!b_calc_curve_chinabond("1082",AH$1,$B103)</f>
        <v>0</v>
      </c>
      <c r="AI103" s="7">
        <f ca="1">[1]!b_calc_curve_chinabond("1082",AI$1,$B103)</f>
        <v>0</v>
      </c>
    </row>
    <row r="104" spans="1:35" ht="19.5" customHeight="1">
      <c r="A104" s="1" t="s">
        <v>104</v>
      </c>
      <c r="B104" s="2">
        <v>9.6</v>
      </c>
      <c r="C104" s="7">
        <f ca="1">[1]!b_calc_curve_chinabond("1082",C$1,$B104)</f>
        <v>2.3151000000000002</v>
      </c>
      <c r="D104" s="7">
        <f ca="1">[1]!b_calc_curve_chinabond("1082",D$1,$B104)</f>
        <v>2.3166000000000002</v>
      </c>
      <c r="E104" s="7">
        <f ca="1">[1]!b_calc_curve_chinabond("1082",E$1,$B104)</f>
        <v>0</v>
      </c>
      <c r="F104" s="7">
        <f ca="1">[1]!b_calc_curve_chinabond("1082",F$1,$B104)</f>
        <v>0</v>
      </c>
      <c r="G104" s="7">
        <f ca="1">[1]!b_calc_curve_chinabond("1082",G$1,$B104)</f>
        <v>2.3119999999999998</v>
      </c>
      <c r="H104" s="7">
        <f ca="1">[1]!b_calc_curve_chinabond("1082",H$1,$B104)</f>
        <v>2.2968999999999999</v>
      </c>
      <c r="I104" s="7">
        <f ca="1">[1]!b_calc_curve_chinabond("1082",I$1,$B104)</f>
        <v>2.2904</v>
      </c>
      <c r="J104" s="7">
        <f ca="1">[1]!b_calc_curve_chinabond("1082",J$1,$B104)</f>
        <v>2.2785000000000002</v>
      </c>
      <c r="K104" s="7">
        <f ca="1">[1]!b_calc_curve_chinabond("1082",K$1,$B104)</f>
        <v>2.2663000000000002</v>
      </c>
      <c r="L104" s="7">
        <f ca="1">[1]!b_calc_curve_chinabond("1082",L$1,$B104)</f>
        <v>0</v>
      </c>
      <c r="M104" s="7">
        <f ca="1">[1]!b_calc_curve_chinabond("1082",M$1,$B104)</f>
        <v>0</v>
      </c>
      <c r="N104" s="7">
        <f ca="1">[1]!b_calc_curve_chinabond("1082",N$1,$B104)</f>
        <v>2.2604000000000002</v>
      </c>
      <c r="O104" s="7">
        <f ca="1">[1]!b_calc_curve_chinabond("1082",O$1,$B104)</f>
        <v>2.2515000000000001</v>
      </c>
      <c r="P104" s="7">
        <f ca="1">[1]!b_calc_curve_chinabond("1082",P$1,$B104)</f>
        <v>2.2448000000000001</v>
      </c>
      <c r="Q104" s="7">
        <f ca="1">[1]!b_calc_curve_chinabond("1082",Q$1,$B104)</f>
        <v>2.2363</v>
      </c>
      <c r="R104" s="7">
        <f ca="1">[1]!b_calc_curve_chinabond("1082",R$1,$B104)</f>
        <v>2.2326999999999999</v>
      </c>
      <c r="S104" s="7">
        <f ca="1">[1]!b_calc_curve_chinabond("1082",S$1,$B104)</f>
        <v>0</v>
      </c>
      <c r="T104" s="7">
        <f ca="1">[1]!b_calc_curve_chinabond("1082",T$1,$B104)</f>
        <v>0</v>
      </c>
      <c r="U104" s="7">
        <f ca="1">[1]!b_calc_curve_chinabond("1082",U$1,$B104)</f>
        <v>2.2427999999999999</v>
      </c>
      <c r="V104" s="7">
        <f ca="1">[1]!b_calc_curve_chinabond("1082",V$1,$B104)</f>
        <v>2.2604000000000002</v>
      </c>
      <c r="W104" s="7">
        <f ca="1">[1]!b_calc_curve_chinabond("1082",W$1,$B104)</f>
        <v>2.2848000000000002</v>
      </c>
      <c r="X104" s="7">
        <f ca="1">[1]!b_calc_curve_chinabond("1082",X$1,$B104)</f>
        <v>2.3029999999999999</v>
      </c>
      <c r="Y104" s="7">
        <f ca="1">[1]!b_calc_curve_chinabond("1082",Y$1,$B104)</f>
        <v>2.3113000000000001</v>
      </c>
      <c r="Z104" s="7">
        <f ca="1">[1]!b_calc_curve_chinabond("1082",Z$1,$B104)</f>
        <v>0</v>
      </c>
      <c r="AA104" s="7">
        <f ca="1">[1]!b_calc_curve_chinabond("1082",AA$1,$B104)</f>
        <v>0</v>
      </c>
      <c r="AB104" s="7">
        <f ca="1">[1]!b_calc_curve_chinabond("1082",AB$1,$B104)</f>
        <v>2.3068</v>
      </c>
      <c r="AC104" s="7">
        <f ca="1">[1]!b_calc_curve_chinabond("1082",AC$1,$B104)</f>
        <v>2.2934999999999999</v>
      </c>
      <c r="AD104" s="7">
        <f ca="1">[1]!b_calc_curve_chinabond("1082",AD$1,$B104)</f>
        <v>2.2786</v>
      </c>
      <c r="AE104" s="7">
        <f ca="1">[1]!b_calc_curve_chinabond("1082",AE$1,$B104)</f>
        <v>2.2705000000000002</v>
      </c>
      <c r="AF104" s="7">
        <f ca="1">[1]!b_calc_curve_chinabond("1082",AF$1,$B104)</f>
        <v>0</v>
      </c>
      <c r="AG104" s="7">
        <f ca="1">[1]!b_calc_curve_chinabond("1082",AG$1,$B104)</f>
        <v>0</v>
      </c>
      <c r="AH104" s="7">
        <f ca="1">[1]!b_calc_curve_chinabond("1082",AH$1,$B104)</f>
        <v>0</v>
      </c>
      <c r="AI104" s="7">
        <f ca="1">[1]!b_calc_curve_chinabond("1082",AI$1,$B104)</f>
        <v>0</v>
      </c>
    </row>
    <row r="105" spans="1:35" ht="19.5" customHeight="1">
      <c r="A105" s="3" t="s">
        <v>105</v>
      </c>
      <c r="B105" s="4">
        <v>9.6999999999999993</v>
      </c>
      <c r="C105" s="7">
        <f ca="1">[1]!b_calc_curve_chinabond("1082",C$1,$B105)</f>
        <v>2.3170999999999999</v>
      </c>
      <c r="D105" s="7">
        <f ca="1">[1]!b_calc_curve_chinabond("1082",D$1,$B105)</f>
        <v>2.3186</v>
      </c>
      <c r="E105" s="7">
        <f ca="1">[1]!b_calc_curve_chinabond("1082",E$1,$B105)</f>
        <v>0</v>
      </c>
      <c r="F105" s="7">
        <f ca="1">[1]!b_calc_curve_chinabond("1082",F$1,$B105)</f>
        <v>0</v>
      </c>
      <c r="G105" s="7">
        <f ca="1">[1]!b_calc_curve_chinabond("1082",G$1,$B105)</f>
        <v>2.3147000000000002</v>
      </c>
      <c r="H105" s="7">
        <f ca="1">[1]!b_calc_curve_chinabond("1082",H$1,$B105)</f>
        <v>2.2984</v>
      </c>
      <c r="I105" s="7">
        <f ca="1">[1]!b_calc_curve_chinabond("1082",I$1,$B105)</f>
        <v>2.2917999999999998</v>
      </c>
      <c r="J105" s="7">
        <f ca="1">[1]!b_calc_curve_chinabond("1082",J$1,$B105)</f>
        <v>2.2801</v>
      </c>
      <c r="K105" s="7">
        <f ca="1">[1]!b_calc_curve_chinabond("1082",K$1,$B105)</f>
        <v>2.2673000000000001</v>
      </c>
      <c r="L105" s="7">
        <f ca="1">[1]!b_calc_curve_chinabond("1082",L$1,$B105)</f>
        <v>0</v>
      </c>
      <c r="M105" s="7">
        <f ca="1">[1]!b_calc_curve_chinabond("1082",M$1,$B105)</f>
        <v>0</v>
      </c>
      <c r="N105" s="7">
        <f ca="1">[1]!b_calc_curve_chinabond("1082",N$1,$B105)</f>
        <v>2.2614000000000001</v>
      </c>
      <c r="O105" s="7">
        <f ca="1">[1]!b_calc_curve_chinabond("1082",O$1,$B105)</f>
        <v>2.2532999999999999</v>
      </c>
      <c r="P105" s="7">
        <f ca="1">[1]!b_calc_curve_chinabond("1082",P$1,$B105)</f>
        <v>2.2458999999999998</v>
      </c>
      <c r="Q105" s="7">
        <f ca="1">[1]!b_calc_curve_chinabond("1082",Q$1,$B105)</f>
        <v>2.2372000000000001</v>
      </c>
      <c r="R105" s="7">
        <f ca="1">[1]!b_calc_curve_chinabond("1082",R$1,$B105)</f>
        <v>2.234</v>
      </c>
      <c r="S105" s="7">
        <f ca="1">[1]!b_calc_curve_chinabond("1082",S$1,$B105)</f>
        <v>0</v>
      </c>
      <c r="T105" s="7">
        <f ca="1">[1]!b_calc_curve_chinabond("1082",T$1,$B105)</f>
        <v>0</v>
      </c>
      <c r="U105" s="7">
        <f ca="1">[1]!b_calc_curve_chinabond("1082",U$1,$B105)</f>
        <v>2.2444999999999999</v>
      </c>
      <c r="V105" s="7">
        <f ca="1">[1]!b_calc_curve_chinabond("1082",V$1,$B105)</f>
        <v>2.2621000000000002</v>
      </c>
      <c r="W105" s="7">
        <f ca="1">[1]!b_calc_curve_chinabond("1082",W$1,$B105)</f>
        <v>2.2858999999999998</v>
      </c>
      <c r="X105" s="7">
        <f ca="1">[1]!b_calc_curve_chinabond("1082",X$1,$B105)</f>
        <v>2.3069999999999999</v>
      </c>
      <c r="Y105" s="7">
        <f ca="1">[1]!b_calc_curve_chinabond("1082",Y$1,$B105)</f>
        <v>2.3123</v>
      </c>
      <c r="Z105" s="7">
        <f ca="1">[1]!b_calc_curve_chinabond("1082",Z$1,$B105)</f>
        <v>0</v>
      </c>
      <c r="AA105" s="7">
        <f ca="1">[1]!b_calc_curve_chinabond("1082",AA$1,$B105)</f>
        <v>0</v>
      </c>
      <c r="AB105" s="7">
        <f ca="1">[1]!b_calc_curve_chinabond("1082",AB$1,$B105)</f>
        <v>2.3079999999999998</v>
      </c>
      <c r="AC105" s="7">
        <f ca="1">[1]!b_calc_curve_chinabond("1082",AC$1,$B105)</f>
        <v>2.2942</v>
      </c>
      <c r="AD105" s="7">
        <f ca="1">[1]!b_calc_curve_chinabond("1082",AD$1,$B105)</f>
        <v>2.2801</v>
      </c>
      <c r="AE105" s="7">
        <f ca="1">[1]!b_calc_curve_chinabond("1082",AE$1,$B105)</f>
        <v>2.2726000000000002</v>
      </c>
      <c r="AF105" s="7">
        <f ca="1">[1]!b_calc_curve_chinabond("1082",AF$1,$B105)</f>
        <v>0</v>
      </c>
      <c r="AG105" s="7">
        <f ca="1">[1]!b_calc_curve_chinabond("1082",AG$1,$B105)</f>
        <v>0</v>
      </c>
      <c r="AH105" s="7">
        <f ca="1">[1]!b_calc_curve_chinabond("1082",AH$1,$B105)</f>
        <v>0</v>
      </c>
      <c r="AI105" s="7">
        <f ca="1">[1]!b_calc_curve_chinabond("1082",AI$1,$B105)</f>
        <v>0</v>
      </c>
    </row>
    <row r="106" spans="1:35" ht="19.5" customHeight="1">
      <c r="A106" s="1" t="s">
        <v>106</v>
      </c>
      <c r="B106" s="2">
        <v>9.8000000000000007</v>
      </c>
      <c r="C106" s="7">
        <f ca="1">[1]!b_calc_curve_chinabond("1082",C$1,$B106)</f>
        <v>2.3191999999999999</v>
      </c>
      <c r="D106" s="7">
        <f ca="1">[1]!b_calc_curve_chinabond("1082",D$1,$B106)</f>
        <v>2.3208000000000002</v>
      </c>
      <c r="E106" s="7">
        <f ca="1">[1]!b_calc_curve_chinabond("1082",E$1,$B106)</f>
        <v>0</v>
      </c>
      <c r="F106" s="7">
        <f ca="1">[1]!b_calc_curve_chinabond("1082",F$1,$B106)</f>
        <v>0</v>
      </c>
      <c r="G106" s="7">
        <f ca="1">[1]!b_calc_curve_chinabond("1082",G$1,$B106)</f>
        <v>2.3176000000000001</v>
      </c>
      <c r="H106" s="7">
        <f ca="1">[1]!b_calc_curve_chinabond("1082",H$1,$B106)</f>
        <v>2.2999999999999998</v>
      </c>
      <c r="I106" s="7">
        <f ca="1">[1]!b_calc_curve_chinabond("1082",I$1,$B106)</f>
        <v>2.2934000000000001</v>
      </c>
      <c r="J106" s="7">
        <f ca="1">[1]!b_calc_curve_chinabond("1082",J$1,$B106)</f>
        <v>2.2818999999999998</v>
      </c>
      <c r="K106" s="7">
        <f ca="1">[1]!b_calc_curve_chinabond("1082",K$1,$B106)</f>
        <v>2.2682000000000002</v>
      </c>
      <c r="L106" s="7">
        <f ca="1">[1]!b_calc_curve_chinabond("1082",L$1,$B106)</f>
        <v>0</v>
      </c>
      <c r="M106" s="7">
        <f ca="1">[1]!b_calc_curve_chinabond("1082",M$1,$B106)</f>
        <v>0</v>
      </c>
      <c r="N106" s="7">
        <f ca="1">[1]!b_calc_curve_chinabond("1082",N$1,$B106)</f>
        <v>2.2623000000000002</v>
      </c>
      <c r="O106" s="7">
        <f ca="1">[1]!b_calc_curve_chinabond("1082",O$1,$B106)</f>
        <v>2.2551999999999999</v>
      </c>
      <c r="P106" s="7">
        <f ca="1">[1]!b_calc_curve_chinabond("1082",P$1,$B106)</f>
        <v>2.2469000000000001</v>
      </c>
      <c r="Q106" s="7">
        <f ca="1">[1]!b_calc_curve_chinabond("1082",Q$1,$B106)</f>
        <v>2.238</v>
      </c>
      <c r="R106" s="7">
        <f ca="1">[1]!b_calc_curve_chinabond("1082",R$1,$B106)</f>
        <v>2.2355</v>
      </c>
      <c r="S106" s="7">
        <f ca="1">[1]!b_calc_curve_chinabond("1082",S$1,$B106)</f>
        <v>0</v>
      </c>
      <c r="T106" s="7">
        <f ca="1">[1]!b_calc_curve_chinabond("1082",T$1,$B106)</f>
        <v>0</v>
      </c>
      <c r="U106" s="7">
        <f ca="1">[1]!b_calc_curve_chinabond("1082",U$1,$B106)</f>
        <v>2.2462</v>
      </c>
      <c r="V106" s="7">
        <f ca="1">[1]!b_calc_curve_chinabond("1082",V$1,$B106)</f>
        <v>2.2639</v>
      </c>
      <c r="W106" s="7">
        <f ca="1">[1]!b_calc_curve_chinabond("1082",W$1,$B106)</f>
        <v>2.2871000000000001</v>
      </c>
      <c r="X106" s="7">
        <f ca="1">[1]!b_calc_curve_chinabond("1082",X$1,$B106)</f>
        <v>2.3111000000000002</v>
      </c>
      <c r="Y106" s="7">
        <f ca="1">[1]!b_calc_curve_chinabond("1082",Y$1,$B106)</f>
        <v>2.3134000000000001</v>
      </c>
      <c r="Z106" s="7">
        <f ca="1">[1]!b_calc_curve_chinabond("1082",Z$1,$B106)</f>
        <v>0</v>
      </c>
      <c r="AA106" s="7">
        <f ca="1">[1]!b_calc_curve_chinabond("1082",AA$1,$B106)</f>
        <v>0</v>
      </c>
      <c r="AB106" s="7">
        <f ca="1">[1]!b_calc_curve_chinabond("1082",AB$1,$B106)</f>
        <v>2.3090999999999999</v>
      </c>
      <c r="AC106" s="7">
        <f ca="1">[1]!b_calc_curve_chinabond("1082",AC$1,$B106)</f>
        <v>2.2949000000000002</v>
      </c>
      <c r="AD106" s="7">
        <f ca="1">[1]!b_calc_curve_chinabond("1082",AD$1,$B106)</f>
        <v>2.2816000000000001</v>
      </c>
      <c r="AE106" s="7">
        <f ca="1">[1]!b_calc_curve_chinabond("1082",AE$1,$B106)</f>
        <v>2.2747000000000002</v>
      </c>
      <c r="AF106" s="7">
        <f ca="1">[1]!b_calc_curve_chinabond("1082",AF$1,$B106)</f>
        <v>0</v>
      </c>
      <c r="AG106" s="7">
        <f ca="1">[1]!b_calc_curve_chinabond("1082",AG$1,$B106)</f>
        <v>0</v>
      </c>
      <c r="AH106" s="7">
        <f ca="1">[1]!b_calc_curve_chinabond("1082",AH$1,$B106)</f>
        <v>0</v>
      </c>
      <c r="AI106" s="7">
        <f ca="1">[1]!b_calc_curve_chinabond("1082",AI$1,$B106)</f>
        <v>0</v>
      </c>
    </row>
    <row r="107" spans="1:35" ht="19.5" customHeight="1">
      <c r="A107" s="3" t="s">
        <v>107</v>
      </c>
      <c r="B107" s="4">
        <v>9.9</v>
      </c>
      <c r="C107" s="7">
        <f ca="1">[1]!b_calc_curve_chinabond("1082",C$1,$B107)</f>
        <v>2.3216999999999999</v>
      </c>
      <c r="D107" s="7">
        <f ca="1">[1]!b_calc_curve_chinabond("1082",D$1,$B107)</f>
        <v>2.3233999999999999</v>
      </c>
      <c r="E107" s="7">
        <f ca="1">[1]!b_calc_curve_chinabond("1082",E$1,$B107)</f>
        <v>0</v>
      </c>
      <c r="F107" s="7">
        <f ca="1">[1]!b_calc_curve_chinabond("1082",F$1,$B107)</f>
        <v>0</v>
      </c>
      <c r="G107" s="7">
        <f ca="1">[1]!b_calc_curve_chinabond("1082",G$1,$B107)</f>
        <v>2.3208000000000002</v>
      </c>
      <c r="H107" s="7">
        <f ca="1">[1]!b_calc_curve_chinabond("1082",H$1,$B107)</f>
        <v>2.3020999999999998</v>
      </c>
      <c r="I107" s="7">
        <f ca="1">[1]!b_calc_curve_chinabond("1082",I$1,$B107)</f>
        <v>2.2955000000000001</v>
      </c>
      <c r="J107" s="7">
        <f ca="1">[1]!b_calc_curve_chinabond("1082",J$1,$B107)</f>
        <v>2.2841</v>
      </c>
      <c r="K107" s="7">
        <f ca="1">[1]!b_calc_curve_chinabond("1082",K$1,$B107)</f>
        <v>2.2694000000000001</v>
      </c>
      <c r="L107" s="7">
        <f ca="1">[1]!b_calc_curve_chinabond("1082",L$1,$B107)</f>
        <v>0</v>
      </c>
      <c r="M107" s="7">
        <f ca="1">[1]!b_calc_curve_chinabond("1082",M$1,$B107)</f>
        <v>0</v>
      </c>
      <c r="N107" s="7">
        <f ca="1">[1]!b_calc_curve_chinabond("1082",N$1,$B107)</f>
        <v>2.2635000000000001</v>
      </c>
      <c r="O107" s="7">
        <f ca="1">[1]!b_calc_curve_chinabond("1082",O$1,$B107)</f>
        <v>2.2576000000000001</v>
      </c>
      <c r="P107" s="7">
        <f ca="1">[1]!b_calc_curve_chinabond("1082",P$1,$B107)</f>
        <v>2.2483</v>
      </c>
      <c r="Q107" s="7">
        <f ca="1">[1]!b_calc_curve_chinabond("1082",Q$1,$B107)</f>
        <v>2.2389000000000001</v>
      </c>
      <c r="R107" s="7">
        <f ca="1">[1]!b_calc_curve_chinabond("1082",R$1,$B107)</f>
        <v>2.2376</v>
      </c>
      <c r="S107" s="7">
        <f ca="1">[1]!b_calc_curve_chinabond("1082",S$1,$B107)</f>
        <v>0</v>
      </c>
      <c r="T107" s="7">
        <f ca="1">[1]!b_calc_curve_chinabond("1082",T$1,$B107)</f>
        <v>0</v>
      </c>
      <c r="U107" s="7">
        <f ca="1">[1]!b_calc_curve_chinabond("1082",U$1,$B107)</f>
        <v>2.2484000000000002</v>
      </c>
      <c r="V107" s="7">
        <f ca="1">[1]!b_calc_curve_chinabond("1082",V$1,$B107)</f>
        <v>2.2660999999999998</v>
      </c>
      <c r="W107" s="7">
        <f ca="1">[1]!b_calc_curve_chinabond("1082",W$1,$B107)</f>
        <v>2.2885</v>
      </c>
      <c r="X107" s="7">
        <f ca="1">[1]!b_calc_curve_chinabond("1082",X$1,$B107)</f>
        <v>2.3155000000000001</v>
      </c>
      <c r="Y107" s="7">
        <f ca="1">[1]!b_calc_curve_chinabond("1082",Y$1,$B107)</f>
        <v>2.3147000000000002</v>
      </c>
      <c r="Z107" s="7">
        <f ca="1">[1]!b_calc_curve_chinabond("1082",Z$1,$B107)</f>
        <v>0</v>
      </c>
      <c r="AA107" s="7">
        <f ca="1">[1]!b_calc_curve_chinabond("1082",AA$1,$B107)</f>
        <v>0</v>
      </c>
      <c r="AB107" s="7">
        <f ca="1">[1]!b_calc_curve_chinabond("1082",AB$1,$B107)</f>
        <v>2.3107000000000002</v>
      </c>
      <c r="AC107" s="7">
        <f ca="1">[1]!b_calc_curve_chinabond("1082",AC$1,$B107)</f>
        <v>2.2955999999999999</v>
      </c>
      <c r="AD107" s="7">
        <f ca="1">[1]!b_calc_curve_chinabond("1082",AD$1,$B107)</f>
        <v>2.2835000000000001</v>
      </c>
      <c r="AE107" s="7">
        <f ca="1">[1]!b_calc_curve_chinabond("1082",AE$1,$B107)</f>
        <v>2.2772000000000001</v>
      </c>
      <c r="AF107" s="7">
        <f ca="1">[1]!b_calc_curve_chinabond("1082",AF$1,$B107)</f>
        <v>0</v>
      </c>
      <c r="AG107" s="7">
        <f ca="1">[1]!b_calc_curve_chinabond("1082",AG$1,$B107)</f>
        <v>0</v>
      </c>
      <c r="AH107" s="7">
        <f ca="1">[1]!b_calc_curve_chinabond("1082",AH$1,$B107)</f>
        <v>0</v>
      </c>
      <c r="AI107" s="7">
        <f ca="1">[1]!b_calc_curve_chinabond("1082",AI$1,$B107)</f>
        <v>0</v>
      </c>
    </row>
    <row r="108" spans="1:35" ht="19.5" customHeight="1">
      <c r="A108" s="1" t="s">
        <v>108</v>
      </c>
      <c r="B108" s="2">
        <v>10</v>
      </c>
      <c r="C108" s="7">
        <f ca="1">[1]!b_calc_curve_chinabond("1082",C$1,$B108)</f>
        <v>2.3250000000000002</v>
      </c>
      <c r="D108" s="7">
        <f ca="1">[1]!b_calc_curve_chinabond("1082",D$1,$B108)</f>
        <v>2.3269000000000002</v>
      </c>
      <c r="E108" s="7">
        <f ca="1">[1]!b_calc_curve_chinabond("1082",E$1,$B108)</f>
        <v>0</v>
      </c>
      <c r="F108" s="7">
        <f ca="1">[1]!b_calc_curve_chinabond("1082",F$1,$B108)</f>
        <v>0</v>
      </c>
      <c r="G108" s="7">
        <f ca="1">[1]!b_calc_curve_chinabond("1082",G$1,$B108)</f>
        <v>2.3247</v>
      </c>
      <c r="H108" s="7">
        <f ca="1">[1]!b_calc_curve_chinabond("1082",H$1,$B108)</f>
        <v>2.3050999999999999</v>
      </c>
      <c r="I108" s="7">
        <f ca="1">[1]!b_calc_curve_chinabond("1082",I$1,$B108)</f>
        <v>2.2985000000000002</v>
      </c>
      <c r="J108" s="7">
        <f ca="1">[1]!b_calc_curve_chinabond("1082",J$1,$B108)</f>
        <v>2.2871999999999999</v>
      </c>
      <c r="K108" s="7">
        <f ca="1">[1]!b_calc_curve_chinabond("1082",K$1,$B108)</f>
        <v>2.2709999999999999</v>
      </c>
      <c r="L108" s="7">
        <f ca="1">[1]!b_calc_curve_chinabond("1082",L$1,$B108)</f>
        <v>0</v>
      </c>
      <c r="M108" s="7">
        <f ca="1">[1]!b_calc_curve_chinabond("1082",M$1,$B108)</f>
        <v>0</v>
      </c>
      <c r="N108" s="7">
        <f ca="1">[1]!b_calc_curve_chinabond("1082",N$1,$B108)</f>
        <v>2.2650999999999999</v>
      </c>
      <c r="O108" s="7">
        <f ca="1">[1]!b_calc_curve_chinabond("1082",O$1,$B108)</f>
        <v>2.2608000000000001</v>
      </c>
      <c r="P108" s="7">
        <f ca="1">[1]!b_calc_curve_chinabond("1082",P$1,$B108)</f>
        <v>2.2502</v>
      </c>
      <c r="Q108" s="7">
        <f ca="1">[1]!b_calc_curve_chinabond("1082",Q$1,$B108)</f>
        <v>2.2402000000000002</v>
      </c>
      <c r="R108" s="7">
        <f ca="1">[1]!b_calc_curve_chinabond("1082",R$1,$B108)</f>
        <v>2.2404999999999999</v>
      </c>
      <c r="S108" s="7">
        <f ca="1">[1]!b_calc_curve_chinabond("1082",S$1,$B108)</f>
        <v>0</v>
      </c>
      <c r="T108" s="7">
        <f ca="1">[1]!b_calc_curve_chinabond("1082",T$1,$B108)</f>
        <v>0</v>
      </c>
      <c r="U108" s="7">
        <f ca="1">[1]!b_calc_curve_chinabond("1082",U$1,$B108)</f>
        <v>2.2513999999999998</v>
      </c>
      <c r="V108" s="7">
        <f ca="1">[1]!b_calc_curve_chinabond("1082",V$1,$B108)</f>
        <v>2.2690000000000001</v>
      </c>
      <c r="W108" s="7">
        <f ca="1">[1]!b_calc_curve_chinabond("1082",W$1,$B108)</f>
        <v>2.2906</v>
      </c>
      <c r="X108" s="7">
        <f ca="1">[1]!b_calc_curve_chinabond("1082",X$1,$B108)</f>
        <v>2.3201999999999998</v>
      </c>
      <c r="Y108" s="7">
        <f ca="1">[1]!b_calc_curve_chinabond("1082",Y$1,$B108)</f>
        <v>2.3166000000000002</v>
      </c>
      <c r="Z108" s="7">
        <f ca="1">[1]!b_calc_curve_chinabond("1082",Z$1,$B108)</f>
        <v>0</v>
      </c>
      <c r="AA108" s="7">
        <f ca="1">[1]!b_calc_curve_chinabond("1082",AA$1,$B108)</f>
        <v>0</v>
      </c>
      <c r="AB108" s="7">
        <f ca="1">[1]!b_calc_curve_chinabond("1082",AB$1,$B108)</f>
        <v>2.3129</v>
      </c>
      <c r="AC108" s="7">
        <f ca="1">[1]!b_calc_curve_chinabond("1082",AC$1,$B108)</f>
        <v>2.2967</v>
      </c>
      <c r="AD108" s="7">
        <f ca="1">[1]!b_calc_curve_chinabond("1082",AD$1,$B108)</f>
        <v>2.286</v>
      </c>
      <c r="AE108" s="7">
        <f ca="1">[1]!b_calc_curve_chinabond("1082",AE$1,$B108)</f>
        <v>2.2801999999999998</v>
      </c>
      <c r="AF108" s="7">
        <f ca="1">[1]!b_calc_curve_chinabond("1082",AF$1,$B108)</f>
        <v>0</v>
      </c>
      <c r="AG108" s="7">
        <f ca="1">[1]!b_calc_curve_chinabond("1082",AG$1,$B108)</f>
        <v>0</v>
      </c>
      <c r="AH108" s="7">
        <f ca="1">[1]!b_calc_curve_chinabond("1082",AH$1,$B108)</f>
        <v>0</v>
      </c>
      <c r="AI108" s="7">
        <f ca="1">[1]!b_calc_curve_chinabond("1082",AI$1,$B108)</f>
        <v>0</v>
      </c>
    </row>
    <row r="109" spans="1:35" ht="19.5" customHeight="1">
      <c r="A109" s="3" t="s">
        <v>109</v>
      </c>
      <c r="B109" s="4">
        <v>10.1</v>
      </c>
      <c r="C109" s="7">
        <f ca="1">[1]!b_calc_curve_chinabond("1082",C$1,$B109)</f>
        <v>2.3289</v>
      </c>
      <c r="D109" s="7">
        <f ca="1">[1]!b_calc_curve_chinabond("1082",D$1,$B109)</f>
        <v>2.331</v>
      </c>
      <c r="E109" s="7">
        <f ca="1">[1]!b_calc_curve_chinabond("1082",E$1,$B109)</f>
        <v>0</v>
      </c>
      <c r="F109" s="7">
        <f ca="1">[1]!b_calc_curve_chinabond("1082",F$1,$B109)</f>
        <v>0</v>
      </c>
      <c r="G109" s="7">
        <f ca="1">[1]!b_calc_curve_chinabond("1082",G$1,$B109)</f>
        <v>2.3292000000000002</v>
      </c>
      <c r="H109" s="7">
        <f ca="1">[1]!b_calc_curve_chinabond("1082",H$1,$B109)</f>
        <v>2.3088000000000002</v>
      </c>
      <c r="I109" s="7">
        <f ca="1">[1]!b_calc_curve_chinabond("1082",I$1,$B109)</f>
        <v>2.3022</v>
      </c>
      <c r="J109" s="7">
        <f ca="1">[1]!b_calc_curve_chinabond("1082",J$1,$B109)</f>
        <v>2.2909000000000002</v>
      </c>
      <c r="K109" s="7">
        <f ca="1">[1]!b_calc_curve_chinabond("1082",K$1,$B109)</f>
        <v>2.2732000000000001</v>
      </c>
      <c r="L109" s="7">
        <f ca="1">[1]!b_calc_curve_chinabond("1082",L$1,$B109)</f>
        <v>0</v>
      </c>
      <c r="M109" s="7">
        <f ca="1">[1]!b_calc_curve_chinabond("1082",M$1,$B109)</f>
        <v>0</v>
      </c>
      <c r="N109" s="7">
        <f ca="1">[1]!b_calc_curve_chinabond("1082",N$1,$B109)</f>
        <v>2.2671999999999999</v>
      </c>
      <c r="O109" s="7">
        <f ca="1">[1]!b_calc_curve_chinabond("1082",O$1,$B109)</f>
        <v>2.2646999999999999</v>
      </c>
      <c r="P109" s="7">
        <f ca="1">[1]!b_calc_curve_chinabond("1082",P$1,$B109)</f>
        <v>2.2526000000000002</v>
      </c>
      <c r="Q109" s="7">
        <f ca="1">[1]!b_calc_curve_chinabond("1082",Q$1,$B109)</f>
        <v>2.2418999999999998</v>
      </c>
      <c r="R109" s="7">
        <f ca="1">[1]!b_calc_curve_chinabond("1082",R$1,$B109)</f>
        <v>2.2440000000000002</v>
      </c>
      <c r="S109" s="7">
        <f ca="1">[1]!b_calc_curve_chinabond("1082",S$1,$B109)</f>
        <v>0</v>
      </c>
      <c r="T109" s="7">
        <f ca="1">[1]!b_calc_curve_chinabond("1082",T$1,$B109)</f>
        <v>0</v>
      </c>
      <c r="U109" s="7">
        <f ca="1">[1]!b_calc_curve_chinabond("1082",U$1,$B109)</f>
        <v>2.2549000000000001</v>
      </c>
      <c r="V109" s="7">
        <f ca="1">[1]!b_calc_curve_chinabond("1082",V$1,$B109)</f>
        <v>2.2724000000000002</v>
      </c>
      <c r="W109" s="7">
        <f ca="1">[1]!b_calc_curve_chinabond("1082",W$1,$B109)</f>
        <v>2.2932000000000001</v>
      </c>
      <c r="X109" s="7">
        <f ca="1">[1]!b_calc_curve_chinabond("1082",X$1,$B109)</f>
        <v>2.3252000000000002</v>
      </c>
      <c r="Y109" s="7">
        <f ca="1">[1]!b_calc_curve_chinabond("1082",Y$1,$B109)</f>
        <v>2.319</v>
      </c>
      <c r="Z109" s="7">
        <f ca="1">[1]!b_calc_curve_chinabond("1082",Z$1,$B109)</f>
        <v>0</v>
      </c>
      <c r="AA109" s="7">
        <f ca="1">[1]!b_calc_curve_chinabond("1082",AA$1,$B109)</f>
        <v>0</v>
      </c>
      <c r="AB109" s="7">
        <f ca="1">[1]!b_calc_curve_chinabond("1082",AB$1,$B109)</f>
        <v>2.3155999999999999</v>
      </c>
      <c r="AC109" s="7">
        <f ca="1">[1]!b_calc_curve_chinabond("1082",AC$1,$B109)</f>
        <v>2.2980999999999998</v>
      </c>
      <c r="AD109" s="7">
        <f ca="1">[1]!b_calc_curve_chinabond("1082",AD$1,$B109)</f>
        <v>2.2890000000000001</v>
      </c>
      <c r="AE109" s="7">
        <f ca="1">[1]!b_calc_curve_chinabond("1082",AE$1,$B109)</f>
        <v>2.2835999999999999</v>
      </c>
      <c r="AF109" s="7">
        <f ca="1">[1]!b_calc_curve_chinabond("1082",AF$1,$B109)</f>
        <v>0</v>
      </c>
      <c r="AG109" s="7">
        <f ca="1">[1]!b_calc_curve_chinabond("1082",AG$1,$B109)</f>
        <v>0</v>
      </c>
      <c r="AH109" s="7">
        <f ca="1">[1]!b_calc_curve_chinabond("1082",AH$1,$B109)</f>
        <v>0</v>
      </c>
      <c r="AI109" s="7">
        <f ca="1">[1]!b_calc_curve_chinabond("1082",AI$1,$B109)</f>
        <v>0</v>
      </c>
    </row>
    <row r="110" spans="1:35" ht="19.5" customHeight="1">
      <c r="A110" s="1" t="s">
        <v>110</v>
      </c>
      <c r="B110" s="2">
        <v>10.199999999999999</v>
      </c>
      <c r="C110" s="7">
        <f ca="1">[1]!b_calc_curve_chinabond("1082",C$1,$B110)</f>
        <v>2.3328000000000002</v>
      </c>
      <c r="D110" s="7">
        <f ca="1">[1]!b_calc_curve_chinabond("1082",D$1,$B110)</f>
        <v>2.3351999999999999</v>
      </c>
      <c r="E110" s="7">
        <f ca="1">[1]!b_calc_curve_chinabond("1082",E$1,$B110)</f>
        <v>0</v>
      </c>
      <c r="F110" s="7">
        <f ca="1">[1]!b_calc_curve_chinabond("1082",F$1,$B110)</f>
        <v>0</v>
      </c>
      <c r="G110" s="7">
        <f ca="1">[1]!b_calc_curve_chinabond("1082",G$1,$B110)</f>
        <v>2.3336999999999999</v>
      </c>
      <c r="H110" s="7">
        <f ca="1">[1]!b_calc_curve_chinabond("1082",H$1,$B110)</f>
        <v>2.3127</v>
      </c>
      <c r="I110" s="7">
        <f ca="1">[1]!b_calc_curve_chinabond("1082",I$1,$B110)</f>
        <v>2.3060999999999998</v>
      </c>
      <c r="J110" s="7">
        <f ca="1">[1]!b_calc_curve_chinabond("1082",J$1,$B110)</f>
        <v>2.2948</v>
      </c>
      <c r="K110" s="7">
        <f ca="1">[1]!b_calc_curve_chinabond("1082",K$1,$B110)</f>
        <v>2.2755999999999998</v>
      </c>
      <c r="L110" s="7">
        <f ca="1">[1]!b_calc_curve_chinabond("1082",L$1,$B110)</f>
        <v>0</v>
      </c>
      <c r="M110" s="7">
        <f ca="1">[1]!b_calc_curve_chinabond("1082",M$1,$B110)</f>
        <v>0</v>
      </c>
      <c r="N110" s="7">
        <f ca="1">[1]!b_calc_curve_chinabond("1082",N$1,$B110)</f>
        <v>2.2694999999999999</v>
      </c>
      <c r="O110" s="7">
        <f ca="1">[1]!b_calc_curve_chinabond("1082",O$1,$B110)</f>
        <v>2.2686999999999999</v>
      </c>
      <c r="P110" s="7">
        <f ca="1">[1]!b_calc_curve_chinabond("1082",P$1,$B110)</f>
        <v>2.2551999999999999</v>
      </c>
      <c r="Q110" s="7">
        <f ca="1">[1]!b_calc_curve_chinabond("1082",Q$1,$B110)</f>
        <v>2.2440000000000002</v>
      </c>
      <c r="R110" s="7">
        <f ca="1">[1]!b_calc_curve_chinabond("1082",R$1,$B110)</f>
        <v>2.2477</v>
      </c>
      <c r="S110" s="7">
        <f ca="1">[1]!b_calc_curve_chinabond("1082",S$1,$B110)</f>
        <v>0</v>
      </c>
      <c r="T110" s="7">
        <f ca="1">[1]!b_calc_curve_chinabond("1082",T$1,$B110)</f>
        <v>0</v>
      </c>
      <c r="U110" s="7">
        <f ca="1">[1]!b_calc_curve_chinabond("1082",U$1,$B110)</f>
        <v>2.2585000000000002</v>
      </c>
      <c r="V110" s="7">
        <f ca="1">[1]!b_calc_curve_chinabond("1082",V$1,$B110)</f>
        <v>2.2759</v>
      </c>
      <c r="W110" s="7">
        <f ca="1">[1]!b_calc_curve_chinabond("1082",W$1,$B110)</f>
        <v>2.2959999999999998</v>
      </c>
      <c r="X110" s="7">
        <f ca="1">[1]!b_calc_curve_chinabond("1082",X$1,$B110)</f>
        <v>2.3302</v>
      </c>
      <c r="Y110" s="7">
        <f ca="1">[1]!b_calc_curve_chinabond("1082",Y$1,$B110)</f>
        <v>2.3216000000000001</v>
      </c>
      <c r="Z110" s="7">
        <f ca="1">[1]!b_calc_curve_chinabond("1082",Z$1,$B110)</f>
        <v>0</v>
      </c>
      <c r="AA110" s="7">
        <f ca="1">[1]!b_calc_curve_chinabond("1082",AA$1,$B110)</f>
        <v>0</v>
      </c>
      <c r="AB110" s="7">
        <f ca="1">[1]!b_calc_curve_chinabond("1082",AB$1,$B110)</f>
        <v>2.3184999999999998</v>
      </c>
      <c r="AC110" s="7">
        <f ca="1">[1]!b_calc_curve_chinabond("1082",AC$1,$B110)</f>
        <v>2.2997999999999998</v>
      </c>
      <c r="AD110" s="7">
        <f ca="1">[1]!b_calc_curve_chinabond("1082",AD$1,$B110)</f>
        <v>2.2921999999999998</v>
      </c>
      <c r="AE110" s="7">
        <f ca="1">[1]!b_calc_curve_chinabond("1082",AE$1,$B110)</f>
        <v>2.2871000000000001</v>
      </c>
      <c r="AF110" s="7">
        <f ca="1">[1]!b_calc_curve_chinabond("1082",AF$1,$B110)</f>
        <v>0</v>
      </c>
      <c r="AG110" s="7">
        <f ca="1">[1]!b_calc_curve_chinabond("1082",AG$1,$B110)</f>
        <v>0</v>
      </c>
      <c r="AH110" s="7">
        <f ca="1">[1]!b_calc_curve_chinabond("1082",AH$1,$B110)</f>
        <v>0</v>
      </c>
      <c r="AI110" s="7">
        <f ca="1">[1]!b_calc_curve_chinabond("1082",AI$1,$B110)</f>
        <v>0</v>
      </c>
    </row>
    <row r="111" spans="1:35" ht="19.5" customHeight="1">
      <c r="A111" s="3" t="s">
        <v>111</v>
      </c>
      <c r="B111" s="4">
        <v>10.3</v>
      </c>
      <c r="C111" s="7">
        <f ca="1">[1]!b_calc_curve_chinabond("1082",C$1,$B111)</f>
        <v>2.3369</v>
      </c>
      <c r="D111" s="7">
        <f ca="1">[1]!b_calc_curve_chinabond("1082",D$1,$B111)</f>
        <v>2.3393999999999999</v>
      </c>
      <c r="E111" s="7">
        <f ca="1">[1]!b_calc_curve_chinabond("1082",E$1,$B111)</f>
        <v>0</v>
      </c>
      <c r="F111" s="7">
        <f ca="1">[1]!b_calc_curve_chinabond("1082",F$1,$B111)</f>
        <v>0</v>
      </c>
      <c r="G111" s="7">
        <f ca="1">[1]!b_calc_curve_chinabond("1082",G$1,$B111)</f>
        <v>2.3382999999999998</v>
      </c>
      <c r="H111" s="7">
        <f ca="1">[1]!b_calc_curve_chinabond("1082",H$1,$B111)</f>
        <v>2.3167</v>
      </c>
      <c r="I111" s="7">
        <f ca="1">[1]!b_calc_curve_chinabond("1082",I$1,$B111)</f>
        <v>2.31</v>
      </c>
      <c r="J111" s="7">
        <f ca="1">[1]!b_calc_curve_chinabond("1082",J$1,$B111)</f>
        <v>2.2988</v>
      </c>
      <c r="K111" s="7">
        <f ca="1">[1]!b_calc_curve_chinabond("1082",K$1,$B111)</f>
        <v>2.2782</v>
      </c>
      <c r="L111" s="7">
        <f ca="1">[1]!b_calc_curve_chinabond("1082",L$1,$B111)</f>
        <v>0</v>
      </c>
      <c r="M111" s="7">
        <f ca="1">[1]!b_calc_curve_chinabond("1082",M$1,$B111)</f>
        <v>0</v>
      </c>
      <c r="N111" s="7">
        <f ca="1">[1]!b_calc_curve_chinabond("1082",N$1,$B111)</f>
        <v>2.2721</v>
      </c>
      <c r="O111" s="7">
        <f ca="1">[1]!b_calc_curve_chinabond("1082",O$1,$B111)</f>
        <v>2.2726999999999999</v>
      </c>
      <c r="P111" s="7">
        <f ca="1">[1]!b_calc_curve_chinabond("1082",P$1,$B111)</f>
        <v>2.258</v>
      </c>
      <c r="Q111" s="7">
        <f ca="1">[1]!b_calc_curve_chinabond("1082",Q$1,$B111)</f>
        <v>2.2463000000000002</v>
      </c>
      <c r="R111" s="7">
        <f ca="1">[1]!b_calc_curve_chinabond("1082",R$1,$B111)</f>
        <v>2.2515000000000001</v>
      </c>
      <c r="S111" s="7">
        <f ca="1">[1]!b_calc_curve_chinabond("1082",S$1,$B111)</f>
        <v>0</v>
      </c>
      <c r="T111" s="7">
        <f ca="1">[1]!b_calc_curve_chinabond("1082",T$1,$B111)</f>
        <v>0</v>
      </c>
      <c r="U111" s="7">
        <f ca="1">[1]!b_calc_curve_chinabond("1082",U$1,$B111)</f>
        <v>2.2623000000000002</v>
      </c>
      <c r="V111" s="7">
        <f ca="1">[1]!b_calc_curve_chinabond("1082",V$1,$B111)</f>
        <v>2.2795000000000001</v>
      </c>
      <c r="W111" s="7">
        <f ca="1">[1]!b_calc_curve_chinabond("1082",W$1,$B111)</f>
        <v>2.2989000000000002</v>
      </c>
      <c r="X111" s="7">
        <f ca="1">[1]!b_calc_curve_chinabond("1082",X$1,$B111)</f>
        <v>2.3351999999999999</v>
      </c>
      <c r="Y111" s="7">
        <f ca="1">[1]!b_calc_curve_chinabond("1082",Y$1,$B111)</f>
        <v>2.3243999999999998</v>
      </c>
      <c r="Z111" s="7">
        <f ca="1">[1]!b_calc_curve_chinabond("1082",Z$1,$B111)</f>
        <v>0</v>
      </c>
      <c r="AA111" s="7">
        <f ca="1">[1]!b_calc_curve_chinabond("1082",AA$1,$B111)</f>
        <v>0</v>
      </c>
      <c r="AB111" s="7">
        <f ca="1">[1]!b_calc_curve_chinabond("1082",AB$1,$B111)</f>
        <v>2.3214999999999999</v>
      </c>
      <c r="AC111" s="7">
        <f ca="1">[1]!b_calc_curve_chinabond("1082",AC$1,$B111)</f>
        <v>2.3018000000000001</v>
      </c>
      <c r="AD111" s="7">
        <f ca="1">[1]!b_calc_curve_chinabond("1082",AD$1,$B111)</f>
        <v>2.2955000000000001</v>
      </c>
      <c r="AE111" s="7">
        <f ca="1">[1]!b_calc_curve_chinabond("1082",AE$1,$B111)</f>
        <v>2.2907000000000002</v>
      </c>
      <c r="AF111" s="7">
        <f ca="1">[1]!b_calc_curve_chinabond("1082",AF$1,$B111)</f>
        <v>0</v>
      </c>
      <c r="AG111" s="7">
        <f ca="1">[1]!b_calc_curve_chinabond("1082",AG$1,$B111)</f>
        <v>0</v>
      </c>
      <c r="AH111" s="7">
        <f ca="1">[1]!b_calc_curve_chinabond("1082",AH$1,$B111)</f>
        <v>0</v>
      </c>
      <c r="AI111" s="7">
        <f ca="1">[1]!b_calc_curve_chinabond("1082",AI$1,$B111)</f>
        <v>0</v>
      </c>
    </row>
    <row r="112" spans="1:35" ht="19.5" customHeight="1">
      <c r="A112" s="1" t="s">
        <v>112</v>
      </c>
      <c r="B112" s="2">
        <v>10.4</v>
      </c>
      <c r="C112" s="7">
        <f ca="1">[1]!b_calc_curve_chinabond("1082",C$1,$B112)</f>
        <v>2.3411</v>
      </c>
      <c r="D112" s="7">
        <f ca="1">[1]!b_calc_curve_chinabond("1082",D$1,$B112)</f>
        <v>2.3437999999999999</v>
      </c>
      <c r="E112" s="7">
        <f ca="1">[1]!b_calc_curve_chinabond("1082",E$1,$B112)</f>
        <v>0</v>
      </c>
      <c r="F112" s="7">
        <f ca="1">[1]!b_calc_curve_chinabond("1082",F$1,$B112)</f>
        <v>0</v>
      </c>
      <c r="G112" s="7">
        <f ca="1">[1]!b_calc_curve_chinabond("1082",G$1,$B112)</f>
        <v>2.3429000000000002</v>
      </c>
      <c r="H112" s="7">
        <f ca="1">[1]!b_calc_curve_chinabond("1082",H$1,$B112)</f>
        <v>2.3208000000000002</v>
      </c>
      <c r="I112" s="7">
        <f ca="1">[1]!b_calc_curve_chinabond("1082",I$1,$B112)</f>
        <v>2.3142</v>
      </c>
      <c r="J112" s="7">
        <f ca="1">[1]!b_calc_curve_chinabond("1082",J$1,$B112)</f>
        <v>2.3029999999999999</v>
      </c>
      <c r="K112" s="7">
        <f ca="1">[1]!b_calc_curve_chinabond("1082",K$1,$B112)</f>
        <v>2.2810999999999999</v>
      </c>
      <c r="L112" s="7">
        <f ca="1">[1]!b_calc_curve_chinabond("1082",L$1,$B112)</f>
        <v>0</v>
      </c>
      <c r="M112" s="7">
        <f ca="1">[1]!b_calc_curve_chinabond("1082",M$1,$B112)</f>
        <v>0</v>
      </c>
      <c r="N112" s="7">
        <f ca="1">[1]!b_calc_curve_chinabond("1082",N$1,$B112)</f>
        <v>2.2749999999999999</v>
      </c>
      <c r="O112" s="7">
        <f ca="1">[1]!b_calc_curve_chinabond("1082",O$1,$B112)</f>
        <v>2.2768999999999999</v>
      </c>
      <c r="P112" s="7">
        <f ca="1">[1]!b_calc_curve_chinabond("1082",P$1,$B112)</f>
        <v>2.2610000000000001</v>
      </c>
      <c r="Q112" s="7">
        <f ca="1">[1]!b_calc_curve_chinabond("1082",Q$1,$B112)</f>
        <v>2.2488000000000001</v>
      </c>
      <c r="R112" s="7">
        <f ca="1">[1]!b_calc_curve_chinabond("1082",R$1,$B112)</f>
        <v>2.2555000000000001</v>
      </c>
      <c r="S112" s="7">
        <f ca="1">[1]!b_calc_curve_chinabond("1082",S$1,$B112)</f>
        <v>0</v>
      </c>
      <c r="T112" s="7">
        <f ca="1">[1]!b_calc_curve_chinabond("1082",T$1,$B112)</f>
        <v>0</v>
      </c>
      <c r="U112" s="7">
        <f ca="1">[1]!b_calc_curve_chinabond("1082",U$1,$B112)</f>
        <v>2.2662</v>
      </c>
      <c r="V112" s="7">
        <f ca="1">[1]!b_calc_curve_chinabond("1082",V$1,$B112)</f>
        <v>2.2833000000000001</v>
      </c>
      <c r="W112" s="7">
        <f ca="1">[1]!b_calc_curve_chinabond("1082",W$1,$B112)</f>
        <v>2.302</v>
      </c>
      <c r="X112" s="7">
        <f ca="1">[1]!b_calc_curve_chinabond("1082",X$1,$B112)</f>
        <v>2.3401000000000001</v>
      </c>
      <c r="Y112" s="7">
        <f ca="1">[1]!b_calc_curve_chinabond("1082",Y$1,$B112)</f>
        <v>2.3273999999999999</v>
      </c>
      <c r="Z112" s="7">
        <f ca="1">[1]!b_calc_curve_chinabond("1082",Z$1,$B112)</f>
        <v>0</v>
      </c>
      <c r="AA112" s="7">
        <f ca="1">[1]!b_calc_curve_chinabond("1082",AA$1,$B112)</f>
        <v>0</v>
      </c>
      <c r="AB112" s="7">
        <f ca="1">[1]!b_calc_curve_chinabond("1082",AB$1,$B112)</f>
        <v>2.3247</v>
      </c>
      <c r="AC112" s="7">
        <f ca="1">[1]!b_calc_curve_chinabond("1082",AC$1,$B112)</f>
        <v>2.3041</v>
      </c>
      <c r="AD112" s="7">
        <f ca="1">[1]!b_calc_curve_chinabond("1082",AD$1,$B112)</f>
        <v>2.2989000000000002</v>
      </c>
      <c r="AE112" s="7">
        <f ca="1">[1]!b_calc_curve_chinabond("1082",AE$1,$B112)</f>
        <v>2.2944</v>
      </c>
      <c r="AF112" s="7">
        <f ca="1">[1]!b_calc_curve_chinabond("1082",AF$1,$B112)</f>
        <v>0</v>
      </c>
      <c r="AG112" s="7">
        <f ca="1">[1]!b_calc_curve_chinabond("1082",AG$1,$B112)</f>
        <v>0</v>
      </c>
      <c r="AH112" s="7">
        <f ca="1">[1]!b_calc_curve_chinabond("1082",AH$1,$B112)</f>
        <v>0</v>
      </c>
      <c r="AI112" s="7">
        <f ca="1">[1]!b_calc_curve_chinabond("1082",AI$1,$B112)</f>
        <v>0</v>
      </c>
    </row>
    <row r="113" spans="1:35" ht="19.5" customHeight="1">
      <c r="A113" s="3" t="s">
        <v>113</v>
      </c>
      <c r="B113" s="4">
        <v>10.5</v>
      </c>
      <c r="C113" s="7">
        <f ca="1">[1]!b_calc_curve_chinabond("1082",C$1,$B113)</f>
        <v>2.3454999999999999</v>
      </c>
      <c r="D113" s="7">
        <f ca="1">[1]!b_calc_curve_chinabond("1082",D$1,$B113)</f>
        <v>2.3483000000000001</v>
      </c>
      <c r="E113" s="7">
        <f ca="1">[1]!b_calc_curve_chinabond("1082",E$1,$B113)</f>
        <v>0</v>
      </c>
      <c r="F113" s="7">
        <f ca="1">[1]!b_calc_curve_chinabond("1082",F$1,$B113)</f>
        <v>0</v>
      </c>
      <c r="G113" s="7">
        <f ca="1">[1]!b_calc_curve_chinabond("1082",G$1,$B113)</f>
        <v>2.3475999999999999</v>
      </c>
      <c r="H113" s="7">
        <f ca="1">[1]!b_calc_curve_chinabond("1082",H$1,$B113)</f>
        <v>2.3252000000000002</v>
      </c>
      <c r="I113" s="7">
        <f ca="1">[1]!b_calc_curve_chinabond("1082",I$1,$B113)</f>
        <v>2.3184999999999998</v>
      </c>
      <c r="J113" s="7">
        <f ca="1">[1]!b_calc_curve_chinabond("1082",J$1,$B113)</f>
        <v>2.3073000000000001</v>
      </c>
      <c r="K113" s="7">
        <f ca="1">[1]!b_calc_curve_chinabond("1082",K$1,$B113)</f>
        <v>2.2843</v>
      </c>
      <c r="L113" s="7">
        <f ca="1">[1]!b_calc_curve_chinabond("1082",L$1,$B113)</f>
        <v>0</v>
      </c>
      <c r="M113" s="7">
        <f ca="1">[1]!b_calc_curve_chinabond("1082",M$1,$B113)</f>
        <v>0</v>
      </c>
      <c r="N113" s="7">
        <f ca="1">[1]!b_calc_curve_chinabond("1082",N$1,$B113)</f>
        <v>2.2780999999999998</v>
      </c>
      <c r="O113" s="7">
        <f ca="1">[1]!b_calc_curve_chinabond("1082",O$1,$B113)</f>
        <v>2.2810999999999999</v>
      </c>
      <c r="P113" s="7">
        <f ca="1">[1]!b_calc_curve_chinabond("1082",P$1,$B113)</f>
        <v>2.2643</v>
      </c>
      <c r="Q113" s="7">
        <f ca="1">[1]!b_calc_curve_chinabond("1082",Q$1,$B113)</f>
        <v>2.2515999999999998</v>
      </c>
      <c r="R113" s="7">
        <f ca="1">[1]!b_calc_curve_chinabond("1082",R$1,$B113)</f>
        <v>2.2595000000000001</v>
      </c>
      <c r="S113" s="7">
        <f ca="1">[1]!b_calc_curve_chinabond("1082",S$1,$B113)</f>
        <v>0</v>
      </c>
      <c r="T113" s="7">
        <f ca="1">[1]!b_calc_curve_chinabond("1082",T$1,$B113)</f>
        <v>0</v>
      </c>
      <c r="U113" s="7">
        <f ca="1">[1]!b_calc_curve_chinabond("1082",U$1,$B113)</f>
        <v>2.2702</v>
      </c>
      <c r="V113" s="7">
        <f ca="1">[1]!b_calc_curve_chinabond("1082",V$1,$B113)</f>
        <v>2.2871999999999999</v>
      </c>
      <c r="W113" s="7">
        <f ca="1">[1]!b_calc_curve_chinabond("1082",W$1,$B113)</f>
        <v>2.3052999999999999</v>
      </c>
      <c r="X113" s="7">
        <f ca="1">[1]!b_calc_curve_chinabond("1082",X$1,$B113)</f>
        <v>2.3450000000000002</v>
      </c>
      <c r="Y113" s="7">
        <f ca="1">[1]!b_calc_curve_chinabond("1082",Y$1,$B113)</f>
        <v>2.3306</v>
      </c>
      <c r="Z113" s="7">
        <f ca="1">[1]!b_calc_curve_chinabond("1082",Z$1,$B113)</f>
        <v>0</v>
      </c>
      <c r="AA113" s="7">
        <f ca="1">[1]!b_calc_curve_chinabond("1082",AA$1,$B113)</f>
        <v>0</v>
      </c>
      <c r="AB113" s="7">
        <f ca="1">[1]!b_calc_curve_chinabond("1082",AB$1,$B113)</f>
        <v>2.3281000000000001</v>
      </c>
      <c r="AC113" s="7">
        <f ca="1">[1]!b_calc_curve_chinabond("1082",AC$1,$B113)</f>
        <v>2.3066</v>
      </c>
      <c r="AD113" s="7">
        <f ca="1">[1]!b_calc_curve_chinabond("1082",AD$1,$B113)</f>
        <v>2.3024</v>
      </c>
      <c r="AE113" s="7">
        <f ca="1">[1]!b_calc_curve_chinabond("1082",AE$1,$B113)</f>
        <v>2.2982</v>
      </c>
      <c r="AF113" s="7">
        <f ca="1">[1]!b_calc_curve_chinabond("1082",AF$1,$B113)</f>
        <v>0</v>
      </c>
      <c r="AG113" s="7">
        <f ca="1">[1]!b_calc_curve_chinabond("1082",AG$1,$B113)</f>
        <v>0</v>
      </c>
      <c r="AH113" s="7">
        <f ca="1">[1]!b_calc_curve_chinabond("1082",AH$1,$B113)</f>
        <v>0</v>
      </c>
      <c r="AI113" s="7">
        <f ca="1">[1]!b_calc_curve_chinabond("1082",AI$1,$B113)</f>
        <v>0</v>
      </c>
    </row>
    <row r="114" spans="1:35" ht="19.5" customHeight="1">
      <c r="A114" s="1" t="s">
        <v>114</v>
      </c>
      <c r="B114" s="2">
        <v>10.6</v>
      </c>
      <c r="C114" s="7">
        <f ca="1">[1]!b_calc_curve_chinabond("1082",C$1,$B114)</f>
        <v>2.3498999999999999</v>
      </c>
      <c r="D114" s="7">
        <f ca="1">[1]!b_calc_curve_chinabond("1082",D$1,$B114)</f>
        <v>2.3529</v>
      </c>
      <c r="E114" s="7">
        <f ca="1">[1]!b_calc_curve_chinabond("1082",E$1,$B114)</f>
        <v>0</v>
      </c>
      <c r="F114" s="7">
        <f ca="1">[1]!b_calc_curve_chinabond("1082",F$1,$B114)</f>
        <v>0</v>
      </c>
      <c r="G114" s="7">
        <f ca="1">[1]!b_calc_curve_chinabond("1082",G$1,$B114)</f>
        <v>2.3523000000000001</v>
      </c>
      <c r="H114" s="7">
        <f ca="1">[1]!b_calc_curve_chinabond("1082",H$1,$B114)</f>
        <v>2.3296000000000001</v>
      </c>
      <c r="I114" s="7">
        <f ca="1">[1]!b_calc_curve_chinabond("1082",I$1,$B114)</f>
        <v>2.3229000000000002</v>
      </c>
      <c r="J114" s="7">
        <f ca="1">[1]!b_calc_curve_chinabond("1082",J$1,$B114)</f>
        <v>2.3117999999999999</v>
      </c>
      <c r="K114" s="7">
        <f ca="1">[1]!b_calc_curve_chinabond("1082",K$1,$B114)</f>
        <v>2.2877000000000001</v>
      </c>
      <c r="L114" s="7">
        <f ca="1">[1]!b_calc_curve_chinabond("1082",L$1,$B114)</f>
        <v>0</v>
      </c>
      <c r="M114" s="7">
        <f ca="1">[1]!b_calc_curve_chinabond("1082",M$1,$B114)</f>
        <v>0</v>
      </c>
      <c r="N114" s="7">
        <f ca="1">[1]!b_calc_curve_chinabond("1082",N$1,$B114)</f>
        <v>2.2814000000000001</v>
      </c>
      <c r="O114" s="7">
        <f ca="1">[1]!b_calc_curve_chinabond("1082",O$1,$B114)</f>
        <v>2.2854000000000001</v>
      </c>
      <c r="P114" s="7">
        <f ca="1">[1]!b_calc_curve_chinabond("1082",P$1,$B114)</f>
        <v>2.2677</v>
      </c>
      <c r="Q114" s="7">
        <f ca="1">[1]!b_calc_curve_chinabond("1082",Q$1,$B114)</f>
        <v>2.2547000000000001</v>
      </c>
      <c r="R114" s="7">
        <f ca="1">[1]!b_calc_curve_chinabond("1082",R$1,$B114)</f>
        <v>2.2637</v>
      </c>
      <c r="S114" s="7">
        <f ca="1">[1]!b_calc_curve_chinabond("1082",S$1,$B114)</f>
        <v>0</v>
      </c>
      <c r="T114" s="7">
        <f ca="1">[1]!b_calc_curve_chinabond("1082",T$1,$B114)</f>
        <v>0</v>
      </c>
      <c r="U114" s="7">
        <f ca="1">[1]!b_calc_curve_chinabond("1082",U$1,$B114)</f>
        <v>2.2743000000000002</v>
      </c>
      <c r="V114" s="7">
        <f ca="1">[1]!b_calc_curve_chinabond("1082",V$1,$B114)</f>
        <v>2.2911000000000001</v>
      </c>
      <c r="W114" s="7">
        <f ca="1">[1]!b_calc_curve_chinabond("1082",W$1,$B114)</f>
        <v>2.3087</v>
      </c>
      <c r="X114" s="7">
        <f ca="1">[1]!b_calc_curve_chinabond("1082",X$1,$B114)</f>
        <v>2.3498000000000001</v>
      </c>
      <c r="Y114" s="7">
        <f ca="1">[1]!b_calc_curve_chinabond("1082",Y$1,$B114)</f>
        <v>2.3338999999999999</v>
      </c>
      <c r="Z114" s="7">
        <f ca="1">[1]!b_calc_curve_chinabond("1082",Z$1,$B114)</f>
        <v>0</v>
      </c>
      <c r="AA114" s="7">
        <f ca="1">[1]!b_calc_curve_chinabond("1082",AA$1,$B114)</f>
        <v>0</v>
      </c>
      <c r="AB114" s="7">
        <f ca="1">[1]!b_calc_curve_chinabond("1082",AB$1,$B114)</f>
        <v>2.3315999999999999</v>
      </c>
      <c r="AC114" s="7">
        <f ca="1">[1]!b_calc_curve_chinabond("1082",AC$1,$B114)</f>
        <v>2.3094000000000001</v>
      </c>
      <c r="AD114" s="7">
        <f ca="1">[1]!b_calc_curve_chinabond("1082",AD$1,$B114)</f>
        <v>2.3060999999999998</v>
      </c>
      <c r="AE114" s="7">
        <f ca="1">[1]!b_calc_curve_chinabond("1082",AE$1,$B114)</f>
        <v>2.302</v>
      </c>
      <c r="AF114" s="7">
        <f ca="1">[1]!b_calc_curve_chinabond("1082",AF$1,$B114)</f>
        <v>0</v>
      </c>
      <c r="AG114" s="7">
        <f ca="1">[1]!b_calc_curve_chinabond("1082",AG$1,$B114)</f>
        <v>0</v>
      </c>
      <c r="AH114" s="7">
        <f ca="1">[1]!b_calc_curve_chinabond("1082",AH$1,$B114)</f>
        <v>0</v>
      </c>
      <c r="AI114" s="7">
        <f ca="1">[1]!b_calc_curve_chinabond("1082",AI$1,$B114)</f>
        <v>0</v>
      </c>
    </row>
    <row r="115" spans="1:35" ht="19.5" customHeight="1">
      <c r="A115" s="3" t="s">
        <v>115</v>
      </c>
      <c r="B115" s="4">
        <v>10.7</v>
      </c>
      <c r="C115" s="7">
        <f ca="1">[1]!b_calc_curve_chinabond("1082",C$1,$B115)</f>
        <v>2.3544999999999998</v>
      </c>
      <c r="D115" s="7">
        <f ca="1">[1]!b_calc_curve_chinabond("1082",D$1,$B115)</f>
        <v>2.3574999999999999</v>
      </c>
      <c r="E115" s="7">
        <f ca="1">[1]!b_calc_curve_chinabond("1082",E$1,$B115)</f>
        <v>0</v>
      </c>
      <c r="F115" s="7">
        <f ca="1">[1]!b_calc_curve_chinabond("1082",F$1,$B115)</f>
        <v>0</v>
      </c>
      <c r="G115" s="7">
        <f ca="1">[1]!b_calc_curve_chinabond("1082",G$1,$B115)</f>
        <v>2.3571</v>
      </c>
      <c r="H115" s="7">
        <f ca="1">[1]!b_calc_curve_chinabond("1082",H$1,$B115)</f>
        <v>2.3342000000000001</v>
      </c>
      <c r="I115" s="7">
        <f ca="1">[1]!b_calc_curve_chinabond("1082",I$1,$B115)</f>
        <v>2.3273999999999999</v>
      </c>
      <c r="J115" s="7">
        <f ca="1">[1]!b_calc_curve_chinabond("1082",J$1,$B115)</f>
        <v>2.3163999999999998</v>
      </c>
      <c r="K115" s="7">
        <f ca="1">[1]!b_calc_curve_chinabond("1082",K$1,$B115)</f>
        <v>2.2913000000000001</v>
      </c>
      <c r="L115" s="7">
        <f ca="1">[1]!b_calc_curve_chinabond("1082",L$1,$B115)</f>
        <v>0</v>
      </c>
      <c r="M115" s="7">
        <f ca="1">[1]!b_calc_curve_chinabond("1082",M$1,$B115)</f>
        <v>0</v>
      </c>
      <c r="N115" s="7">
        <f ca="1">[1]!b_calc_curve_chinabond("1082",N$1,$B115)</f>
        <v>2.2850000000000001</v>
      </c>
      <c r="O115" s="7">
        <f ca="1">[1]!b_calc_curve_chinabond("1082",O$1,$B115)</f>
        <v>2.2896999999999998</v>
      </c>
      <c r="P115" s="7">
        <f ca="1">[1]!b_calc_curve_chinabond("1082",P$1,$B115)</f>
        <v>2.2713000000000001</v>
      </c>
      <c r="Q115" s="7">
        <f ca="1">[1]!b_calc_curve_chinabond("1082",Q$1,$B115)</f>
        <v>2.2581000000000002</v>
      </c>
      <c r="R115" s="7">
        <f ca="1">[1]!b_calc_curve_chinabond("1082",R$1,$B115)</f>
        <v>2.2679999999999998</v>
      </c>
      <c r="S115" s="7">
        <f ca="1">[1]!b_calc_curve_chinabond("1082",S$1,$B115)</f>
        <v>0</v>
      </c>
      <c r="T115" s="7">
        <f ca="1">[1]!b_calc_curve_chinabond("1082",T$1,$B115)</f>
        <v>0</v>
      </c>
      <c r="U115" s="7">
        <f ca="1">[1]!b_calc_curve_chinabond("1082",U$1,$B115)</f>
        <v>2.2786</v>
      </c>
      <c r="V115" s="7">
        <f ca="1">[1]!b_calc_curve_chinabond("1082",V$1,$B115)</f>
        <v>2.2951999999999999</v>
      </c>
      <c r="W115" s="7">
        <f ca="1">[1]!b_calc_curve_chinabond("1082",W$1,$B115)</f>
        <v>2.3123</v>
      </c>
      <c r="X115" s="7">
        <f ca="1">[1]!b_calc_curve_chinabond("1082",X$1,$B115)</f>
        <v>2.3546999999999998</v>
      </c>
      <c r="Y115" s="7">
        <f ca="1">[1]!b_calc_curve_chinabond("1082",Y$1,$B115)</f>
        <v>2.3374999999999999</v>
      </c>
      <c r="Z115" s="7">
        <f ca="1">[1]!b_calc_curve_chinabond("1082",Z$1,$B115)</f>
        <v>0</v>
      </c>
      <c r="AA115" s="7">
        <f ca="1">[1]!b_calc_curve_chinabond("1082",AA$1,$B115)</f>
        <v>0</v>
      </c>
      <c r="AB115" s="7">
        <f ca="1">[1]!b_calc_curve_chinabond("1082",AB$1,$B115)</f>
        <v>2.3353000000000002</v>
      </c>
      <c r="AC115" s="7">
        <f ca="1">[1]!b_calc_curve_chinabond("1082",AC$1,$B115)</f>
        <v>2.3123999999999998</v>
      </c>
      <c r="AD115" s="7">
        <f ca="1">[1]!b_calc_curve_chinabond("1082",AD$1,$B115)</f>
        <v>2.3098999999999998</v>
      </c>
      <c r="AE115" s="7">
        <f ca="1">[1]!b_calc_curve_chinabond("1082",AE$1,$B115)</f>
        <v>2.306</v>
      </c>
      <c r="AF115" s="7">
        <f ca="1">[1]!b_calc_curve_chinabond("1082",AF$1,$B115)</f>
        <v>0</v>
      </c>
      <c r="AG115" s="7">
        <f ca="1">[1]!b_calc_curve_chinabond("1082",AG$1,$B115)</f>
        <v>0</v>
      </c>
      <c r="AH115" s="7">
        <f ca="1">[1]!b_calc_curve_chinabond("1082",AH$1,$B115)</f>
        <v>0</v>
      </c>
      <c r="AI115" s="7">
        <f ca="1">[1]!b_calc_curve_chinabond("1082",AI$1,$B115)</f>
        <v>0</v>
      </c>
    </row>
    <row r="116" spans="1:35" ht="19.5" customHeight="1">
      <c r="A116" s="1" t="s">
        <v>116</v>
      </c>
      <c r="B116" s="2">
        <v>10.8</v>
      </c>
      <c r="C116" s="7">
        <f ca="1">[1]!b_calc_curve_chinabond("1082",C$1,$B116)</f>
        <v>2.3591000000000002</v>
      </c>
      <c r="D116" s="7">
        <f ca="1">[1]!b_calc_curve_chinabond("1082",D$1,$B116)</f>
        <v>2.3622999999999998</v>
      </c>
      <c r="E116" s="7">
        <f ca="1">[1]!b_calc_curve_chinabond("1082",E$1,$B116)</f>
        <v>0</v>
      </c>
      <c r="F116" s="7">
        <f ca="1">[1]!b_calc_curve_chinabond("1082",F$1,$B116)</f>
        <v>0</v>
      </c>
      <c r="G116" s="7">
        <f ca="1">[1]!b_calc_curve_chinabond("1082",G$1,$B116)</f>
        <v>2.3620000000000001</v>
      </c>
      <c r="H116" s="7">
        <f ca="1">[1]!b_calc_curve_chinabond("1082",H$1,$B116)</f>
        <v>2.3389000000000002</v>
      </c>
      <c r="I116" s="7">
        <f ca="1">[1]!b_calc_curve_chinabond("1082",I$1,$B116)</f>
        <v>2.3321000000000001</v>
      </c>
      <c r="J116" s="7">
        <f ca="1">[1]!b_calc_curve_chinabond("1082",J$1,$B116)</f>
        <v>2.3210999999999999</v>
      </c>
      <c r="K116" s="7">
        <f ca="1">[1]!b_calc_curve_chinabond("1082",K$1,$B116)</f>
        <v>2.2951999999999999</v>
      </c>
      <c r="L116" s="7">
        <f ca="1">[1]!b_calc_curve_chinabond("1082",L$1,$B116)</f>
        <v>0</v>
      </c>
      <c r="M116" s="7">
        <f ca="1">[1]!b_calc_curve_chinabond("1082",M$1,$B116)</f>
        <v>0</v>
      </c>
      <c r="N116" s="7">
        <f ca="1">[1]!b_calc_curve_chinabond("1082",N$1,$B116)</f>
        <v>2.2887</v>
      </c>
      <c r="O116" s="7">
        <f ca="1">[1]!b_calc_curve_chinabond("1082",O$1,$B116)</f>
        <v>2.2942</v>
      </c>
      <c r="P116" s="7">
        <f ca="1">[1]!b_calc_curve_chinabond("1082",P$1,$B116)</f>
        <v>2.2751999999999999</v>
      </c>
      <c r="Q116" s="7">
        <f ca="1">[1]!b_calc_curve_chinabond("1082",Q$1,$B116)</f>
        <v>2.2616000000000001</v>
      </c>
      <c r="R116" s="7">
        <f ca="1">[1]!b_calc_curve_chinabond("1082",R$1,$B116)</f>
        <v>2.2724000000000002</v>
      </c>
      <c r="S116" s="7">
        <f ca="1">[1]!b_calc_curve_chinabond("1082",S$1,$B116)</f>
        <v>0</v>
      </c>
      <c r="T116" s="7">
        <f ca="1">[1]!b_calc_curve_chinabond("1082",T$1,$B116)</f>
        <v>0</v>
      </c>
      <c r="U116" s="7">
        <f ca="1">[1]!b_calc_curve_chinabond("1082",U$1,$B116)</f>
        <v>2.2829000000000002</v>
      </c>
      <c r="V116" s="7">
        <f ca="1">[1]!b_calc_curve_chinabond("1082",V$1,$B116)</f>
        <v>2.2993999999999999</v>
      </c>
      <c r="W116" s="7">
        <f ca="1">[1]!b_calc_curve_chinabond("1082",W$1,$B116)</f>
        <v>2.3159000000000001</v>
      </c>
      <c r="X116" s="7">
        <f ca="1">[1]!b_calc_curve_chinabond("1082",X$1,$B116)</f>
        <v>2.3595000000000002</v>
      </c>
      <c r="Y116" s="7">
        <f ca="1">[1]!b_calc_curve_chinabond("1082",Y$1,$B116)</f>
        <v>2.3411</v>
      </c>
      <c r="Z116" s="7">
        <f ca="1">[1]!b_calc_curve_chinabond("1082",Z$1,$B116)</f>
        <v>0</v>
      </c>
      <c r="AA116" s="7">
        <f ca="1">[1]!b_calc_curve_chinabond("1082",AA$1,$B116)</f>
        <v>0</v>
      </c>
      <c r="AB116" s="7">
        <f ca="1">[1]!b_calc_curve_chinabond("1082",AB$1,$B116)</f>
        <v>2.3391000000000002</v>
      </c>
      <c r="AC116" s="7">
        <f ca="1">[1]!b_calc_curve_chinabond("1082",AC$1,$B116)</f>
        <v>2.3155999999999999</v>
      </c>
      <c r="AD116" s="7">
        <f ca="1">[1]!b_calc_curve_chinabond("1082",AD$1,$B116)</f>
        <v>2.3138999999999998</v>
      </c>
      <c r="AE116" s="7">
        <f ca="1">[1]!b_calc_curve_chinabond("1082",AE$1,$B116)</f>
        <v>2.31</v>
      </c>
      <c r="AF116" s="7">
        <f ca="1">[1]!b_calc_curve_chinabond("1082",AF$1,$B116)</f>
        <v>0</v>
      </c>
      <c r="AG116" s="7">
        <f ca="1">[1]!b_calc_curve_chinabond("1082",AG$1,$B116)</f>
        <v>0</v>
      </c>
      <c r="AH116" s="7">
        <f ca="1">[1]!b_calc_curve_chinabond("1082",AH$1,$B116)</f>
        <v>0</v>
      </c>
      <c r="AI116" s="7">
        <f ca="1">[1]!b_calc_curve_chinabond("1082",AI$1,$B116)</f>
        <v>0</v>
      </c>
    </row>
    <row r="117" spans="1:35" ht="19.5" customHeight="1">
      <c r="A117" s="3" t="s">
        <v>117</v>
      </c>
      <c r="B117" s="4">
        <v>10.9</v>
      </c>
      <c r="C117" s="7">
        <f ca="1">[1]!b_calc_curve_chinabond("1082",C$1,$B117)</f>
        <v>2.3639000000000001</v>
      </c>
      <c r="D117" s="7">
        <f ca="1">[1]!b_calc_curve_chinabond("1082",D$1,$B117)</f>
        <v>2.3671000000000002</v>
      </c>
      <c r="E117" s="7">
        <f ca="1">[1]!b_calc_curve_chinabond("1082",E$1,$B117)</f>
        <v>0</v>
      </c>
      <c r="F117" s="7">
        <f ca="1">[1]!b_calc_curve_chinabond("1082",F$1,$B117)</f>
        <v>0</v>
      </c>
      <c r="G117" s="7">
        <f ca="1">[1]!b_calc_curve_chinabond("1082",G$1,$B117)</f>
        <v>2.3668999999999998</v>
      </c>
      <c r="H117" s="7">
        <f ca="1">[1]!b_calc_curve_chinabond("1082",H$1,$B117)</f>
        <v>2.3437999999999999</v>
      </c>
      <c r="I117" s="7">
        <f ca="1">[1]!b_calc_curve_chinabond("1082",I$1,$B117)</f>
        <v>2.3369</v>
      </c>
      <c r="J117" s="7">
        <f ca="1">[1]!b_calc_curve_chinabond("1082",J$1,$B117)</f>
        <v>2.3258999999999999</v>
      </c>
      <c r="K117" s="7">
        <f ca="1">[1]!b_calc_curve_chinabond("1082",K$1,$B117)</f>
        <v>2.2993000000000001</v>
      </c>
      <c r="L117" s="7">
        <f ca="1">[1]!b_calc_curve_chinabond("1082",L$1,$B117)</f>
        <v>0</v>
      </c>
      <c r="M117" s="7">
        <f ca="1">[1]!b_calc_curve_chinabond("1082",M$1,$B117)</f>
        <v>0</v>
      </c>
      <c r="N117" s="7">
        <f ca="1">[1]!b_calc_curve_chinabond("1082",N$1,$B117)</f>
        <v>2.2927</v>
      </c>
      <c r="O117" s="7">
        <f ca="1">[1]!b_calc_curve_chinabond("1082",O$1,$B117)</f>
        <v>2.2987000000000002</v>
      </c>
      <c r="P117" s="7">
        <f ca="1">[1]!b_calc_curve_chinabond("1082",P$1,$B117)</f>
        <v>2.2791999999999999</v>
      </c>
      <c r="Q117" s="7">
        <f ca="1">[1]!b_calc_curve_chinabond("1082",Q$1,$B117)</f>
        <v>2.2654000000000001</v>
      </c>
      <c r="R117" s="7">
        <f ca="1">[1]!b_calc_curve_chinabond("1082",R$1,$B117)</f>
        <v>2.2768999999999999</v>
      </c>
      <c r="S117" s="7">
        <f ca="1">[1]!b_calc_curve_chinabond("1082",S$1,$B117)</f>
        <v>0</v>
      </c>
      <c r="T117" s="7">
        <f ca="1">[1]!b_calc_curve_chinabond("1082",T$1,$B117)</f>
        <v>0</v>
      </c>
      <c r="U117" s="7">
        <f ca="1">[1]!b_calc_curve_chinabond("1082",U$1,$B117)</f>
        <v>2.2873999999999999</v>
      </c>
      <c r="V117" s="7">
        <f ca="1">[1]!b_calc_curve_chinabond("1082",V$1,$B117)</f>
        <v>2.3037000000000001</v>
      </c>
      <c r="W117" s="7">
        <f ca="1">[1]!b_calc_curve_chinabond("1082",W$1,$B117)</f>
        <v>2.3197999999999999</v>
      </c>
      <c r="X117" s="7">
        <f ca="1">[1]!b_calc_curve_chinabond("1082",X$1,$B117)</f>
        <v>2.3643000000000001</v>
      </c>
      <c r="Y117" s="7">
        <f ca="1">[1]!b_calc_curve_chinabond("1082",Y$1,$B117)</f>
        <v>2.3450000000000002</v>
      </c>
      <c r="Z117" s="7">
        <f ca="1">[1]!b_calc_curve_chinabond("1082",Z$1,$B117)</f>
        <v>0</v>
      </c>
      <c r="AA117" s="7">
        <f ca="1">[1]!b_calc_curve_chinabond("1082",AA$1,$B117)</f>
        <v>0</v>
      </c>
      <c r="AB117" s="7">
        <f ca="1">[1]!b_calc_curve_chinabond("1082",AB$1,$B117)</f>
        <v>2.3431000000000002</v>
      </c>
      <c r="AC117" s="7">
        <f ca="1">[1]!b_calc_curve_chinabond("1082",AC$1,$B117)</f>
        <v>2.3191000000000002</v>
      </c>
      <c r="AD117" s="7">
        <f ca="1">[1]!b_calc_curve_chinabond("1082",AD$1,$B117)</f>
        <v>2.3178999999999998</v>
      </c>
      <c r="AE117" s="7">
        <f ca="1">[1]!b_calc_curve_chinabond("1082",AE$1,$B117)</f>
        <v>2.3140999999999998</v>
      </c>
      <c r="AF117" s="7">
        <f ca="1">[1]!b_calc_curve_chinabond("1082",AF$1,$B117)</f>
        <v>0</v>
      </c>
      <c r="AG117" s="7">
        <f ca="1">[1]!b_calc_curve_chinabond("1082",AG$1,$B117)</f>
        <v>0</v>
      </c>
      <c r="AH117" s="7">
        <f ca="1">[1]!b_calc_curve_chinabond("1082",AH$1,$B117)</f>
        <v>0</v>
      </c>
      <c r="AI117" s="7">
        <f ca="1">[1]!b_calc_curve_chinabond("1082",AI$1,$B117)</f>
        <v>0</v>
      </c>
    </row>
    <row r="118" spans="1:35" ht="19.5" customHeight="1">
      <c r="A118" s="1" t="s">
        <v>118</v>
      </c>
      <c r="B118" s="2">
        <v>11</v>
      </c>
      <c r="C118" s="7">
        <f ca="1">[1]!b_calc_curve_chinabond("1082",C$1,$B118)</f>
        <v>2.3687</v>
      </c>
      <c r="D118" s="7">
        <f ca="1">[1]!b_calc_curve_chinabond("1082",D$1,$B118)</f>
        <v>2.3719999999999999</v>
      </c>
      <c r="E118" s="7">
        <f ca="1">[1]!b_calc_curve_chinabond("1082",E$1,$B118)</f>
        <v>0</v>
      </c>
      <c r="F118" s="7">
        <f ca="1">[1]!b_calc_curve_chinabond("1082",F$1,$B118)</f>
        <v>0</v>
      </c>
      <c r="G118" s="7">
        <f ca="1">[1]!b_calc_curve_chinabond("1082",G$1,$B118)</f>
        <v>2.3717999999999999</v>
      </c>
      <c r="H118" s="7">
        <f ca="1">[1]!b_calc_curve_chinabond("1082",H$1,$B118)</f>
        <v>2.3487</v>
      </c>
      <c r="I118" s="7">
        <f ca="1">[1]!b_calc_curve_chinabond("1082",I$1,$B118)</f>
        <v>2.3418999999999999</v>
      </c>
      <c r="J118" s="7">
        <f ca="1">[1]!b_calc_curve_chinabond("1082",J$1,$B118)</f>
        <v>2.3309000000000002</v>
      </c>
      <c r="K118" s="7">
        <f ca="1">[1]!b_calc_curve_chinabond("1082",K$1,$B118)</f>
        <v>2.3035999999999999</v>
      </c>
      <c r="L118" s="7">
        <f ca="1">[1]!b_calc_curve_chinabond("1082",L$1,$B118)</f>
        <v>0</v>
      </c>
      <c r="M118" s="7">
        <f ca="1">[1]!b_calc_curve_chinabond("1082",M$1,$B118)</f>
        <v>0</v>
      </c>
      <c r="N118" s="7">
        <f ca="1">[1]!b_calc_curve_chinabond("1082",N$1,$B118)</f>
        <v>2.2968999999999999</v>
      </c>
      <c r="O118" s="7">
        <f ca="1">[1]!b_calc_curve_chinabond("1082",O$1,$B118)</f>
        <v>2.3033000000000001</v>
      </c>
      <c r="P118" s="7">
        <f ca="1">[1]!b_calc_curve_chinabond("1082",P$1,$B118)</f>
        <v>2.2833000000000001</v>
      </c>
      <c r="Q118" s="7">
        <f ca="1">[1]!b_calc_curve_chinabond("1082",Q$1,$B118)</f>
        <v>2.2694000000000001</v>
      </c>
      <c r="R118" s="7">
        <f ca="1">[1]!b_calc_curve_chinabond("1082",R$1,$B118)</f>
        <v>2.2816000000000001</v>
      </c>
      <c r="S118" s="7">
        <f ca="1">[1]!b_calc_curve_chinabond("1082",S$1,$B118)</f>
        <v>0</v>
      </c>
      <c r="T118" s="7">
        <f ca="1">[1]!b_calc_curve_chinabond("1082",T$1,$B118)</f>
        <v>0</v>
      </c>
      <c r="U118" s="7">
        <f ca="1">[1]!b_calc_curve_chinabond("1082",U$1,$B118)</f>
        <v>2.2919999999999998</v>
      </c>
      <c r="V118" s="7">
        <f ca="1">[1]!b_calc_curve_chinabond("1082",V$1,$B118)</f>
        <v>2.3081</v>
      </c>
      <c r="W118" s="7">
        <f ca="1">[1]!b_calc_curve_chinabond("1082",W$1,$B118)</f>
        <v>2.3237000000000001</v>
      </c>
      <c r="X118" s="7">
        <f ca="1">[1]!b_calc_curve_chinabond("1082",X$1,$B118)</f>
        <v>2.3691</v>
      </c>
      <c r="Y118" s="7">
        <f ca="1">[1]!b_calc_curve_chinabond("1082",Y$1,$B118)</f>
        <v>2.3490000000000002</v>
      </c>
      <c r="Z118" s="7">
        <f ca="1">[1]!b_calc_curve_chinabond("1082",Z$1,$B118)</f>
        <v>0</v>
      </c>
      <c r="AA118" s="7">
        <f ca="1">[1]!b_calc_curve_chinabond("1082",AA$1,$B118)</f>
        <v>0</v>
      </c>
      <c r="AB118" s="7">
        <f ca="1">[1]!b_calc_curve_chinabond("1082",AB$1,$B118)</f>
        <v>2.3471000000000002</v>
      </c>
      <c r="AC118" s="7">
        <f ca="1">[1]!b_calc_curve_chinabond("1082",AC$1,$B118)</f>
        <v>2.3227000000000002</v>
      </c>
      <c r="AD118" s="7">
        <f ca="1">[1]!b_calc_curve_chinabond("1082",AD$1,$B118)</f>
        <v>2.3220999999999998</v>
      </c>
      <c r="AE118" s="7">
        <f ca="1">[1]!b_calc_curve_chinabond("1082",AE$1,$B118)</f>
        <v>2.3182999999999998</v>
      </c>
      <c r="AF118" s="7">
        <f ca="1">[1]!b_calc_curve_chinabond("1082",AF$1,$B118)</f>
        <v>0</v>
      </c>
      <c r="AG118" s="7">
        <f ca="1">[1]!b_calc_curve_chinabond("1082",AG$1,$B118)</f>
        <v>0</v>
      </c>
      <c r="AH118" s="7">
        <f ca="1">[1]!b_calc_curve_chinabond("1082",AH$1,$B118)</f>
        <v>0</v>
      </c>
      <c r="AI118" s="7">
        <f ca="1">[1]!b_calc_curve_chinabond("1082",AI$1,$B118)</f>
        <v>0</v>
      </c>
    </row>
    <row r="119" spans="1:35" ht="19.5" customHeight="1">
      <c r="A119" s="3" t="s">
        <v>119</v>
      </c>
      <c r="B119" s="4">
        <v>11.1</v>
      </c>
      <c r="C119" s="7">
        <f ca="1">[1]!b_calc_curve_chinabond("1082",C$1,$B119)</f>
        <v>2.3736999999999999</v>
      </c>
      <c r="D119" s="7">
        <f ca="1">[1]!b_calc_curve_chinabond("1082",D$1,$B119)</f>
        <v>2.3769999999999998</v>
      </c>
      <c r="E119" s="7">
        <f ca="1">[1]!b_calc_curve_chinabond("1082",E$1,$B119)</f>
        <v>0</v>
      </c>
      <c r="F119" s="7">
        <f ca="1">[1]!b_calc_curve_chinabond("1082",F$1,$B119)</f>
        <v>0</v>
      </c>
      <c r="G119" s="7">
        <f ca="1">[1]!b_calc_curve_chinabond("1082",G$1,$B119)</f>
        <v>2.3767999999999998</v>
      </c>
      <c r="H119" s="7">
        <f ca="1">[1]!b_calc_curve_chinabond("1082",H$1,$B119)</f>
        <v>2.3538000000000001</v>
      </c>
      <c r="I119" s="7">
        <f ca="1">[1]!b_calc_curve_chinabond("1082",I$1,$B119)</f>
        <v>2.3469000000000002</v>
      </c>
      <c r="J119" s="7">
        <f ca="1">[1]!b_calc_curve_chinabond("1082",J$1,$B119)</f>
        <v>2.3359000000000001</v>
      </c>
      <c r="K119" s="7">
        <f ca="1">[1]!b_calc_curve_chinabond("1082",K$1,$B119)</f>
        <v>2.3081</v>
      </c>
      <c r="L119" s="7">
        <f ca="1">[1]!b_calc_curve_chinabond("1082",L$1,$B119)</f>
        <v>0</v>
      </c>
      <c r="M119" s="7">
        <f ca="1">[1]!b_calc_curve_chinabond("1082",M$1,$B119)</f>
        <v>0</v>
      </c>
      <c r="N119" s="7">
        <f ca="1">[1]!b_calc_curve_chinabond("1082",N$1,$B119)</f>
        <v>2.3012000000000001</v>
      </c>
      <c r="O119" s="7">
        <f ca="1">[1]!b_calc_curve_chinabond("1082",O$1,$B119)</f>
        <v>2.3079999999999998</v>
      </c>
      <c r="P119" s="7">
        <f ca="1">[1]!b_calc_curve_chinabond("1082",P$1,$B119)</f>
        <v>2.2875999999999999</v>
      </c>
      <c r="Q119" s="7">
        <f ca="1">[1]!b_calc_curve_chinabond("1082",Q$1,$B119)</f>
        <v>2.2736000000000001</v>
      </c>
      <c r="R119" s="7">
        <f ca="1">[1]!b_calc_curve_chinabond("1082",R$1,$B119)</f>
        <v>2.2863000000000002</v>
      </c>
      <c r="S119" s="7">
        <f ca="1">[1]!b_calc_curve_chinabond("1082",S$1,$B119)</f>
        <v>0</v>
      </c>
      <c r="T119" s="7">
        <f ca="1">[1]!b_calc_curve_chinabond("1082",T$1,$B119)</f>
        <v>0</v>
      </c>
      <c r="U119" s="7">
        <f ca="1">[1]!b_calc_curve_chinabond("1082",U$1,$B119)</f>
        <v>2.2967</v>
      </c>
      <c r="V119" s="7">
        <f ca="1">[1]!b_calc_curve_chinabond("1082",V$1,$B119)</f>
        <v>2.3126000000000002</v>
      </c>
      <c r="W119" s="7">
        <f ca="1">[1]!b_calc_curve_chinabond("1082",W$1,$B119)</f>
        <v>2.3277999999999999</v>
      </c>
      <c r="X119" s="7">
        <f ca="1">[1]!b_calc_curve_chinabond("1082",X$1,$B119)</f>
        <v>2.3738999999999999</v>
      </c>
      <c r="Y119" s="7">
        <f ca="1">[1]!b_calc_curve_chinabond("1082",Y$1,$B119)</f>
        <v>2.3531</v>
      </c>
      <c r="Z119" s="7">
        <f ca="1">[1]!b_calc_curve_chinabond("1082",Z$1,$B119)</f>
        <v>0</v>
      </c>
      <c r="AA119" s="7">
        <f ca="1">[1]!b_calc_curve_chinabond("1082",AA$1,$B119)</f>
        <v>0</v>
      </c>
      <c r="AB119" s="7">
        <f ca="1">[1]!b_calc_curve_chinabond("1082",AB$1,$B119)</f>
        <v>2.3513000000000002</v>
      </c>
      <c r="AC119" s="7">
        <f ca="1">[1]!b_calc_curve_chinabond("1082",AC$1,$B119)</f>
        <v>2.3266</v>
      </c>
      <c r="AD119" s="7">
        <f ca="1">[1]!b_calc_curve_chinabond("1082",AD$1,$B119)</f>
        <v>2.3262999999999998</v>
      </c>
      <c r="AE119" s="7">
        <f ca="1">[1]!b_calc_curve_chinabond("1082",AE$1,$B119)</f>
        <v>2.3226</v>
      </c>
      <c r="AF119" s="7">
        <f ca="1">[1]!b_calc_curve_chinabond("1082",AF$1,$B119)</f>
        <v>0</v>
      </c>
      <c r="AG119" s="7">
        <f ca="1">[1]!b_calc_curve_chinabond("1082",AG$1,$B119)</f>
        <v>0</v>
      </c>
      <c r="AH119" s="7">
        <f ca="1">[1]!b_calc_curve_chinabond("1082",AH$1,$B119)</f>
        <v>0</v>
      </c>
      <c r="AI119" s="7">
        <f ca="1">[1]!b_calc_curve_chinabond("1082",AI$1,$B119)</f>
        <v>0</v>
      </c>
    </row>
    <row r="120" spans="1:35" ht="19.5" customHeight="1">
      <c r="A120" s="1" t="s">
        <v>120</v>
      </c>
      <c r="B120" s="2">
        <v>11.2</v>
      </c>
      <c r="C120" s="7">
        <f ca="1">[1]!b_calc_curve_chinabond("1082",C$1,$B120)</f>
        <v>2.3786999999999998</v>
      </c>
      <c r="D120" s="7">
        <f ca="1">[1]!b_calc_curve_chinabond("1082",D$1,$B120)</f>
        <v>2.3820999999999999</v>
      </c>
      <c r="E120" s="7">
        <f ca="1">[1]!b_calc_curve_chinabond("1082",E$1,$B120)</f>
        <v>0</v>
      </c>
      <c r="F120" s="7">
        <f ca="1">[1]!b_calc_curve_chinabond("1082",F$1,$B120)</f>
        <v>0</v>
      </c>
      <c r="G120" s="7">
        <f ca="1">[1]!b_calc_curve_chinabond("1082",G$1,$B120)</f>
        <v>2.3818999999999999</v>
      </c>
      <c r="H120" s="7">
        <f ca="1">[1]!b_calc_curve_chinabond("1082",H$1,$B120)</f>
        <v>2.359</v>
      </c>
      <c r="I120" s="7">
        <f ca="1">[1]!b_calc_curve_chinabond("1082",I$1,$B120)</f>
        <v>2.3519999999999999</v>
      </c>
      <c r="J120" s="7">
        <f ca="1">[1]!b_calc_curve_chinabond("1082",J$1,$B120)</f>
        <v>2.3411</v>
      </c>
      <c r="K120" s="7">
        <f ca="1">[1]!b_calc_curve_chinabond("1082",K$1,$B120)</f>
        <v>2.3127</v>
      </c>
      <c r="L120" s="7">
        <f ca="1">[1]!b_calc_curve_chinabond("1082",L$1,$B120)</f>
        <v>0</v>
      </c>
      <c r="M120" s="7">
        <f ca="1">[1]!b_calc_curve_chinabond("1082",M$1,$B120)</f>
        <v>0</v>
      </c>
      <c r="N120" s="7">
        <f ca="1">[1]!b_calc_curve_chinabond("1082",N$1,$B120)</f>
        <v>2.3058000000000001</v>
      </c>
      <c r="O120" s="7">
        <f ca="1">[1]!b_calc_curve_chinabond("1082",O$1,$B120)</f>
        <v>2.3127</v>
      </c>
      <c r="P120" s="7">
        <f ca="1">[1]!b_calc_curve_chinabond("1082",P$1,$B120)</f>
        <v>2.2921</v>
      </c>
      <c r="Q120" s="7">
        <f ca="1">[1]!b_calc_curve_chinabond("1082",Q$1,$B120)</f>
        <v>2.278</v>
      </c>
      <c r="R120" s="7">
        <f ca="1">[1]!b_calc_curve_chinabond("1082",R$1,$B120)</f>
        <v>2.2911000000000001</v>
      </c>
      <c r="S120" s="7">
        <f ca="1">[1]!b_calc_curve_chinabond("1082",S$1,$B120)</f>
        <v>0</v>
      </c>
      <c r="T120" s="7">
        <f ca="1">[1]!b_calc_curve_chinabond("1082",T$1,$B120)</f>
        <v>0</v>
      </c>
      <c r="U120" s="7">
        <f ca="1">[1]!b_calc_curve_chinabond("1082",U$1,$B120)</f>
        <v>2.3014999999999999</v>
      </c>
      <c r="V120" s="7">
        <f ca="1">[1]!b_calc_curve_chinabond("1082",V$1,$B120)</f>
        <v>2.3170999999999999</v>
      </c>
      <c r="W120" s="7">
        <f ca="1">[1]!b_calc_curve_chinabond("1082",W$1,$B120)</f>
        <v>2.3319999999999999</v>
      </c>
      <c r="X120" s="7">
        <f ca="1">[1]!b_calc_curve_chinabond("1082",X$1,$B120)</f>
        <v>2.3786</v>
      </c>
      <c r="Y120" s="7">
        <f ca="1">[1]!b_calc_curve_chinabond("1082",Y$1,$B120)</f>
        <v>2.3574000000000002</v>
      </c>
      <c r="Z120" s="7">
        <f ca="1">[1]!b_calc_curve_chinabond("1082",Z$1,$B120)</f>
        <v>0</v>
      </c>
      <c r="AA120" s="7">
        <f ca="1">[1]!b_calc_curve_chinabond("1082",AA$1,$B120)</f>
        <v>0</v>
      </c>
      <c r="AB120" s="7">
        <f ca="1">[1]!b_calc_curve_chinabond("1082",AB$1,$B120)</f>
        <v>2.3557000000000001</v>
      </c>
      <c r="AC120" s="7">
        <f ca="1">[1]!b_calc_curve_chinabond("1082",AC$1,$B120)</f>
        <v>2.3307000000000002</v>
      </c>
      <c r="AD120" s="7">
        <f ca="1">[1]!b_calc_curve_chinabond("1082",AD$1,$B120)</f>
        <v>2.3307000000000002</v>
      </c>
      <c r="AE120" s="7">
        <f ca="1">[1]!b_calc_curve_chinabond("1082",AE$1,$B120)</f>
        <v>2.3269000000000002</v>
      </c>
      <c r="AF120" s="7">
        <f ca="1">[1]!b_calc_curve_chinabond("1082",AF$1,$B120)</f>
        <v>0</v>
      </c>
      <c r="AG120" s="7">
        <f ca="1">[1]!b_calc_curve_chinabond("1082",AG$1,$B120)</f>
        <v>0</v>
      </c>
      <c r="AH120" s="7">
        <f ca="1">[1]!b_calc_curve_chinabond("1082",AH$1,$B120)</f>
        <v>0</v>
      </c>
      <c r="AI120" s="7">
        <f ca="1">[1]!b_calc_curve_chinabond("1082",AI$1,$B120)</f>
        <v>0</v>
      </c>
    </row>
    <row r="121" spans="1:35" ht="19.5" customHeight="1">
      <c r="A121" s="3" t="s">
        <v>121</v>
      </c>
      <c r="B121" s="4">
        <v>11.3</v>
      </c>
      <c r="C121" s="7">
        <f ca="1">[1]!b_calc_curve_chinabond("1082",C$1,$B121)</f>
        <v>2.3837999999999999</v>
      </c>
      <c r="D121" s="7">
        <f ca="1">[1]!b_calc_curve_chinabond("1082",D$1,$B121)</f>
        <v>2.3872</v>
      </c>
      <c r="E121" s="7">
        <f ca="1">[1]!b_calc_curve_chinabond("1082",E$1,$B121)</f>
        <v>0</v>
      </c>
      <c r="F121" s="7">
        <f ca="1">[1]!b_calc_curve_chinabond("1082",F$1,$B121)</f>
        <v>0</v>
      </c>
      <c r="G121" s="7">
        <f ca="1">[1]!b_calc_curve_chinabond("1082",G$1,$B121)</f>
        <v>2.387</v>
      </c>
      <c r="H121" s="7">
        <f ca="1">[1]!b_calc_curve_chinabond("1082",H$1,$B121)</f>
        <v>2.3643000000000001</v>
      </c>
      <c r="I121" s="7">
        <f ca="1">[1]!b_calc_curve_chinabond("1082",I$1,$B121)</f>
        <v>2.3573</v>
      </c>
      <c r="J121" s="7">
        <f ca="1">[1]!b_calc_curve_chinabond("1082",J$1,$B121)</f>
        <v>2.3464</v>
      </c>
      <c r="K121" s="7">
        <f ca="1">[1]!b_calc_curve_chinabond("1082",K$1,$B121)</f>
        <v>2.3176000000000001</v>
      </c>
      <c r="L121" s="7">
        <f ca="1">[1]!b_calc_curve_chinabond("1082",L$1,$B121)</f>
        <v>0</v>
      </c>
      <c r="M121" s="7">
        <f ca="1">[1]!b_calc_curve_chinabond("1082",M$1,$B121)</f>
        <v>0</v>
      </c>
      <c r="N121" s="7">
        <f ca="1">[1]!b_calc_curve_chinabond("1082",N$1,$B121)</f>
        <v>2.3105000000000002</v>
      </c>
      <c r="O121" s="7">
        <f ca="1">[1]!b_calc_curve_chinabond("1082",O$1,$B121)</f>
        <v>2.3174000000000001</v>
      </c>
      <c r="P121" s="7">
        <f ca="1">[1]!b_calc_curve_chinabond("1082",P$1,$B121)</f>
        <v>2.2967</v>
      </c>
      <c r="Q121" s="7">
        <f ca="1">[1]!b_calc_curve_chinabond("1082",Q$1,$B121)</f>
        <v>2.2826</v>
      </c>
      <c r="R121" s="7">
        <f ca="1">[1]!b_calc_curve_chinabond("1082",R$1,$B121)</f>
        <v>2.2959999999999998</v>
      </c>
      <c r="S121" s="7">
        <f ca="1">[1]!b_calc_curve_chinabond("1082",S$1,$B121)</f>
        <v>0</v>
      </c>
      <c r="T121" s="7">
        <f ca="1">[1]!b_calc_curve_chinabond("1082",T$1,$B121)</f>
        <v>0</v>
      </c>
      <c r="U121" s="7">
        <f ca="1">[1]!b_calc_curve_chinabond("1082",U$1,$B121)</f>
        <v>2.3064</v>
      </c>
      <c r="V121" s="7">
        <f ca="1">[1]!b_calc_curve_chinabond("1082",V$1,$B121)</f>
        <v>2.3218000000000001</v>
      </c>
      <c r="W121" s="7">
        <f ca="1">[1]!b_calc_curve_chinabond("1082",W$1,$B121)</f>
        <v>2.3363</v>
      </c>
      <c r="X121" s="7">
        <f ca="1">[1]!b_calc_curve_chinabond("1082",X$1,$B121)</f>
        <v>2.3834</v>
      </c>
      <c r="Y121" s="7">
        <f ca="1">[1]!b_calc_curve_chinabond("1082",Y$1,$B121)</f>
        <v>2.3618000000000001</v>
      </c>
      <c r="Z121" s="7">
        <f ca="1">[1]!b_calc_curve_chinabond("1082",Z$1,$B121)</f>
        <v>0</v>
      </c>
      <c r="AA121" s="7">
        <f ca="1">[1]!b_calc_curve_chinabond("1082",AA$1,$B121)</f>
        <v>0</v>
      </c>
      <c r="AB121" s="7">
        <f ca="1">[1]!b_calc_curve_chinabond("1082",AB$1,$B121)</f>
        <v>2.3601000000000001</v>
      </c>
      <c r="AC121" s="7">
        <f ca="1">[1]!b_calc_curve_chinabond("1082",AC$1,$B121)</f>
        <v>2.335</v>
      </c>
      <c r="AD121" s="7">
        <f ca="1">[1]!b_calc_curve_chinabond("1082",AD$1,$B121)</f>
        <v>2.3351000000000002</v>
      </c>
      <c r="AE121" s="7">
        <f ca="1">[1]!b_calc_curve_chinabond("1082",AE$1,$B121)</f>
        <v>2.3313000000000001</v>
      </c>
      <c r="AF121" s="7">
        <f ca="1">[1]!b_calc_curve_chinabond("1082",AF$1,$B121)</f>
        <v>0</v>
      </c>
      <c r="AG121" s="7">
        <f ca="1">[1]!b_calc_curve_chinabond("1082",AG$1,$B121)</f>
        <v>0</v>
      </c>
      <c r="AH121" s="7">
        <f ca="1">[1]!b_calc_curve_chinabond("1082",AH$1,$B121)</f>
        <v>0</v>
      </c>
      <c r="AI121" s="7">
        <f ca="1">[1]!b_calc_curve_chinabond("1082",AI$1,$B121)</f>
        <v>0</v>
      </c>
    </row>
    <row r="122" spans="1:35" ht="19.5" customHeight="1">
      <c r="A122" s="1" t="s">
        <v>122</v>
      </c>
      <c r="B122" s="2">
        <v>11.4</v>
      </c>
      <c r="C122" s="7">
        <f ca="1">[1]!b_calc_curve_chinabond("1082",C$1,$B122)</f>
        <v>2.3889999999999998</v>
      </c>
      <c r="D122" s="7">
        <f ca="1">[1]!b_calc_curve_chinabond("1082",D$1,$B122)</f>
        <v>2.3923999999999999</v>
      </c>
      <c r="E122" s="7">
        <f ca="1">[1]!b_calc_curve_chinabond("1082",E$1,$B122)</f>
        <v>0</v>
      </c>
      <c r="F122" s="7">
        <f ca="1">[1]!b_calc_curve_chinabond("1082",F$1,$B122)</f>
        <v>0</v>
      </c>
      <c r="G122" s="7">
        <f ca="1">[1]!b_calc_curve_chinabond("1082",G$1,$B122)</f>
        <v>2.3921000000000001</v>
      </c>
      <c r="H122" s="7">
        <f ca="1">[1]!b_calc_curve_chinabond("1082",H$1,$B122)</f>
        <v>2.3696999999999999</v>
      </c>
      <c r="I122" s="7">
        <f ca="1">[1]!b_calc_curve_chinabond("1082",I$1,$B122)</f>
        <v>2.3626</v>
      </c>
      <c r="J122" s="7">
        <f ca="1">[1]!b_calc_curve_chinabond("1082",J$1,$B122)</f>
        <v>2.3517999999999999</v>
      </c>
      <c r="K122" s="7">
        <f ca="1">[1]!b_calc_curve_chinabond("1082",K$1,$B122)</f>
        <v>2.3226</v>
      </c>
      <c r="L122" s="7">
        <f ca="1">[1]!b_calc_curve_chinabond("1082",L$1,$B122)</f>
        <v>0</v>
      </c>
      <c r="M122" s="7">
        <f ca="1">[1]!b_calc_curve_chinabond("1082",M$1,$B122)</f>
        <v>0</v>
      </c>
      <c r="N122" s="7">
        <f ca="1">[1]!b_calc_curve_chinabond("1082",N$1,$B122)</f>
        <v>2.3153999999999999</v>
      </c>
      <c r="O122" s="7">
        <f ca="1">[1]!b_calc_curve_chinabond("1082",O$1,$B122)</f>
        <v>2.3222999999999998</v>
      </c>
      <c r="P122" s="7">
        <f ca="1">[1]!b_calc_curve_chinabond("1082",P$1,$B122)</f>
        <v>2.3014999999999999</v>
      </c>
      <c r="Q122" s="7">
        <f ca="1">[1]!b_calc_curve_chinabond("1082",Q$1,$B122)</f>
        <v>2.2873999999999999</v>
      </c>
      <c r="R122" s="7">
        <f ca="1">[1]!b_calc_curve_chinabond("1082",R$1,$B122)</f>
        <v>2.3008999999999999</v>
      </c>
      <c r="S122" s="7">
        <f ca="1">[1]!b_calc_curve_chinabond("1082",S$1,$B122)</f>
        <v>0</v>
      </c>
      <c r="T122" s="7">
        <f ca="1">[1]!b_calc_curve_chinabond("1082",T$1,$B122)</f>
        <v>0</v>
      </c>
      <c r="U122" s="7">
        <f ca="1">[1]!b_calc_curve_chinabond("1082",U$1,$B122)</f>
        <v>2.3113000000000001</v>
      </c>
      <c r="V122" s="7">
        <f ca="1">[1]!b_calc_curve_chinabond("1082",V$1,$B122)</f>
        <v>2.3264999999999998</v>
      </c>
      <c r="W122" s="7">
        <f ca="1">[1]!b_calc_curve_chinabond("1082",W$1,$B122)</f>
        <v>2.3408000000000002</v>
      </c>
      <c r="X122" s="7">
        <f ca="1">[1]!b_calc_curve_chinabond("1082",X$1,$B122)</f>
        <v>2.3881000000000001</v>
      </c>
      <c r="Y122" s="7">
        <f ca="1">[1]!b_calc_curve_chinabond("1082",Y$1,$B122)</f>
        <v>2.3662999999999998</v>
      </c>
      <c r="Z122" s="7">
        <f ca="1">[1]!b_calc_curve_chinabond("1082",Z$1,$B122)</f>
        <v>0</v>
      </c>
      <c r="AA122" s="7">
        <f ca="1">[1]!b_calc_curve_chinabond("1082",AA$1,$B122)</f>
        <v>0</v>
      </c>
      <c r="AB122" s="7">
        <f ca="1">[1]!b_calc_curve_chinabond("1082",AB$1,$B122)</f>
        <v>2.3645999999999998</v>
      </c>
      <c r="AC122" s="7">
        <f ca="1">[1]!b_calc_curve_chinabond("1082",AC$1,$B122)</f>
        <v>2.3393999999999999</v>
      </c>
      <c r="AD122" s="7">
        <f ca="1">[1]!b_calc_curve_chinabond("1082",AD$1,$B122)</f>
        <v>2.3397000000000001</v>
      </c>
      <c r="AE122" s="7">
        <f ca="1">[1]!b_calc_curve_chinabond("1082",AE$1,$B122)</f>
        <v>2.3357999999999999</v>
      </c>
      <c r="AF122" s="7">
        <f ca="1">[1]!b_calc_curve_chinabond("1082",AF$1,$B122)</f>
        <v>0</v>
      </c>
      <c r="AG122" s="7">
        <f ca="1">[1]!b_calc_curve_chinabond("1082",AG$1,$B122)</f>
        <v>0</v>
      </c>
      <c r="AH122" s="7">
        <f ca="1">[1]!b_calc_curve_chinabond("1082",AH$1,$B122)</f>
        <v>0</v>
      </c>
      <c r="AI122" s="7">
        <f ca="1">[1]!b_calc_curve_chinabond("1082",AI$1,$B122)</f>
        <v>0</v>
      </c>
    </row>
    <row r="123" spans="1:35" ht="19.5" customHeight="1">
      <c r="A123" s="3" t="s">
        <v>123</v>
      </c>
      <c r="B123" s="4">
        <v>11.5</v>
      </c>
      <c r="C123" s="7">
        <f ca="1">[1]!b_calc_curve_chinabond("1082",C$1,$B123)</f>
        <v>2.3942000000000001</v>
      </c>
      <c r="D123" s="7">
        <f ca="1">[1]!b_calc_curve_chinabond("1082",D$1,$B123)</f>
        <v>2.3976000000000002</v>
      </c>
      <c r="E123" s="7">
        <f ca="1">[1]!b_calc_curve_chinabond("1082",E$1,$B123)</f>
        <v>0</v>
      </c>
      <c r="F123" s="7">
        <f ca="1">[1]!b_calc_curve_chinabond("1082",F$1,$B123)</f>
        <v>0</v>
      </c>
      <c r="G123" s="7">
        <f ca="1">[1]!b_calc_curve_chinabond("1082",G$1,$B123)</f>
        <v>2.3972000000000002</v>
      </c>
      <c r="H123" s="7">
        <f ca="1">[1]!b_calc_curve_chinabond("1082",H$1,$B123)</f>
        <v>2.3752</v>
      </c>
      <c r="I123" s="7">
        <f ca="1">[1]!b_calc_curve_chinabond("1082",I$1,$B123)</f>
        <v>2.3681000000000001</v>
      </c>
      <c r="J123" s="7">
        <f ca="1">[1]!b_calc_curve_chinabond("1082",J$1,$B123)</f>
        <v>2.3573</v>
      </c>
      <c r="K123" s="7">
        <f ca="1">[1]!b_calc_curve_chinabond("1082",K$1,$B123)</f>
        <v>2.3277999999999999</v>
      </c>
      <c r="L123" s="7">
        <f ca="1">[1]!b_calc_curve_chinabond("1082",L$1,$B123)</f>
        <v>0</v>
      </c>
      <c r="M123" s="7">
        <f ca="1">[1]!b_calc_curve_chinabond("1082",M$1,$B123)</f>
        <v>0</v>
      </c>
      <c r="N123" s="7">
        <f ca="1">[1]!b_calc_curve_chinabond("1082",N$1,$B123)</f>
        <v>2.3203999999999998</v>
      </c>
      <c r="O123" s="7">
        <f ca="1">[1]!b_calc_curve_chinabond("1082",O$1,$B123)</f>
        <v>2.3271999999999999</v>
      </c>
      <c r="P123" s="7">
        <f ca="1">[1]!b_calc_curve_chinabond("1082",P$1,$B123)</f>
        <v>2.3064</v>
      </c>
      <c r="Q123" s="7">
        <f ca="1">[1]!b_calc_curve_chinabond("1082",Q$1,$B123)</f>
        <v>2.2924000000000002</v>
      </c>
      <c r="R123" s="7">
        <f ca="1">[1]!b_calc_curve_chinabond("1082",R$1,$B123)</f>
        <v>2.306</v>
      </c>
      <c r="S123" s="7">
        <f ca="1">[1]!b_calc_curve_chinabond("1082",S$1,$B123)</f>
        <v>0</v>
      </c>
      <c r="T123" s="7">
        <f ca="1">[1]!b_calc_curve_chinabond("1082",T$1,$B123)</f>
        <v>0</v>
      </c>
      <c r="U123" s="7">
        <f ca="1">[1]!b_calc_curve_chinabond("1082",U$1,$B123)</f>
        <v>2.3163999999999998</v>
      </c>
      <c r="V123" s="7">
        <f ca="1">[1]!b_calc_curve_chinabond("1082",V$1,$B123)</f>
        <v>2.3313000000000001</v>
      </c>
      <c r="W123" s="7">
        <f ca="1">[1]!b_calc_curve_chinabond("1082",W$1,$B123)</f>
        <v>2.3452999999999999</v>
      </c>
      <c r="X123" s="7">
        <f ca="1">[1]!b_calc_curve_chinabond("1082",X$1,$B123)</f>
        <v>2.3927999999999998</v>
      </c>
      <c r="Y123" s="7">
        <f ca="1">[1]!b_calc_curve_chinabond("1082",Y$1,$B123)</f>
        <v>2.371</v>
      </c>
      <c r="Z123" s="7">
        <f ca="1">[1]!b_calc_curve_chinabond("1082",Z$1,$B123)</f>
        <v>0</v>
      </c>
      <c r="AA123" s="7">
        <f ca="1">[1]!b_calc_curve_chinabond("1082",AA$1,$B123)</f>
        <v>0</v>
      </c>
      <c r="AB123" s="7">
        <f ca="1">[1]!b_calc_curve_chinabond("1082",AB$1,$B123)</f>
        <v>2.3693</v>
      </c>
      <c r="AC123" s="7">
        <f ca="1">[1]!b_calc_curve_chinabond("1082",AC$1,$B123)</f>
        <v>2.3439999999999999</v>
      </c>
      <c r="AD123" s="7">
        <f ca="1">[1]!b_calc_curve_chinabond("1082",AD$1,$B123)</f>
        <v>2.3443000000000001</v>
      </c>
      <c r="AE123" s="7">
        <f ca="1">[1]!b_calc_curve_chinabond("1082",AE$1,$B123)</f>
        <v>2.3403</v>
      </c>
      <c r="AF123" s="7">
        <f ca="1">[1]!b_calc_curve_chinabond("1082",AF$1,$B123)</f>
        <v>0</v>
      </c>
      <c r="AG123" s="7">
        <f ca="1">[1]!b_calc_curve_chinabond("1082",AG$1,$B123)</f>
        <v>0</v>
      </c>
      <c r="AH123" s="7">
        <f ca="1">[1]!b_calc_curve_chinabond("1082",AH$1,$B123)</f>
        <v>0</v>
      </c>
      <c r="AI123" s="7">
        <f ca="1">[1]!b_calc_curve_chinabond("1082",AI$1,$B123)</f>
        <v>0</v>
      </c>
    </row>
    <row r="124" spans="1:35" ht="19.5" customHeight="1">
      <c r="A124" s="1" t="s">
        <v>124</v>
      </c>
      <c r="B124" s="2">
        <v>11.6</v>
      </c>
      <c r="C124" s="7">
        <f ca="1">[1]!b_calc_curve_chinabond("1082",C$1,$B124)</f>
        <v>2.3996</v>
      </c>
      <c r="D124" s="7">
        <f ca="1">[1]!b_calc_curve_chinabond("1082",D$1,$B124)</f>
        <v>2.4028999999999998</v>
      </c>
      <c r="E124" s="7">
        <f ca="1">[1]!b_calc_curve_chinabond("1082",E$1,$B124)</f>
        <v>0</v>
      </c>
      <c r="F124" s="7">
        <f ca="1">[1]!b_calc_curve_chinabond("1082",F$1,$B124)</f>
        <v>0</v>
      </c>
      <c r="G124" s="7">
        <f ca="1">[1]!b_calc_curve_chinabond("1082",G$1,$B124)</f>
        <v>2.4024000000000001</v>
      </c>
      <c r="H124" s="7">
        <f ca="1">[1]!b_calc_curve_chinabond("1082",H$1,$B124)</f>
        <v>2.3807999999999998</v>
      </c>
      <c r="I124" s="7">
        <f ca="1">[1]!b_calc_curve_chinabond("1082",I$1,$B124)</f>
        <v>2.3736000000000002</v>
      </c>
      <c r="J124" s="7">
        <f ca="1">[1]!b_calc_curve_chinabond("1082",J$1,$B124)</f>
        <v>2.3628</v>
      </c>
      <c r="K124" s="7">
        <f ca="1">[1]!b_calc_curve_chinabond("1082",K$1,$B124)</f>
        <v>2.3331</v>
      </c>
      <c r="L124" s="7">
        <f ca="1">[1]!b_calc_curve_chinabond("1082",L$1,$B124)</f>
        <v>0</v>
      </c>
      <c r="M124" s="7">
        <f ca="1">[1]!b_calc_curve_chinabond("1082",M$1,$B124)</f>
        <v>0</v>
      </c>
      <c r="N124" s="7">
        <f ca="1">[1]!b_calc_curve_chinabond("1082",N$1,$B124)</f>
        <v>2.3256000000000001</v>
      </c>
      <c r="O124" s="7">
        <f ca="1">[1]!b_calc_curve_chinabond("1082",O$1,$B124)</f>
        <v>2.3321000000000001</v>
      </c>
      <c r="P124" s="7">
        <f ca="1">[1]!b_calc_curve_chinabond("1082",P$1,$B124)</f>
        <v>2.3113999999999999</v>
      </c>
      <c r="Q124" s="7">
        <f ca="1">[1]!b_calc_curve_chinabond("1082",Q$1,$B124)</f>
        <v>2.2974999999999999</v>
      </c>
      <c r="R124" s="7">
        <f ca="1">[1]!b_calc_curve_chinabond("1082",R$1,$B124)</f>
        <v>2.3111000000000002</v>
      </c>
      <c r="S124" s="7">
        <f ca="1">[1]!b_calc_curve_chinabond("1082",S$1,$B124)</f>
        <v>0</v>
      </c>
      <c r="T124" s="7">
        <f ca="1">[1]!b_calc_curve_chinabond("1082",T$1,$B124)</f>
        <v>0</v>
      </c>
      <c r="U124" s="7">
        <f ca="1">[1]!b_calc_curve_chinabond("1082",U$1,$B124)</f>
        <v>2.3214999999999999</v>
      </c>
      <c r="V124" s="7">
        <f ca="1">[1]!b_calc_curve_chinabond("1082",V$1,$B124)</f>
        <v>2.3361999999999998</v>
      </c>
      <c r="W124" s="7">
        <f ca="1">[1]!b_calc_curve_chinabond("1082",W$1,$B124)</f>
        <v>2.3498999999999999</v>
      </c>
      <c r="X124" s="7">
        <f ca="1">[1]!b_calc_curve_chinabond("1082",X$1,$B124)</f>
        <v>2.3975</v>
      </c>
      <c r="Y124" s="7">
        <f ca="1">[1]!b_calc_curve_chinabond("1082",Y$1,$B124)</f>
        <v>2.3757000000000001</v>
      </c>
      <c r="Z124" s="7">
        <f ca="1">[1]!b_calc_curve_chinabond("1082",Z$1,$B124)</f>
        <v>0</v>
      </c>
      <c r="AA124" s="7">
        <f ca="1">[1]!b_calc_curve_chinabond("1082",AA$1,$B124)</f>
        <v>0</v>
      </c>
      <c r="AB124" s="7">
        <f ca="1">[1]!b_calc_curve_chinabond("1082",AB$1,$B124)</f>
        <v>2.3740000000000001</v>
      </c>
      <c r="AC124" s="7">
        <f ca="1">[1]!b_calc_curve_chinabond("1082",AC$1,$B124)</f>
        <v>2.3488000000000002</v>
      </c>
      <c r="AD124" s="7">
        <f ca="1">[1]!b_calc_curve_chinabond("1082",AD$1,$B124)</f>
        <v>2.3491</v>
      </c>
      <c r="AE124" s="7">
        <f ca="1">[1]!b_calc_curve_chinabond("1082",AE$1,$B124)</f>
        <v>2.3449</v>
      </c>
      <c r="AF124" s="7">
        <f ca="1">[1]!b_calc_curve_chinabond("1082",AF$1,$B124)</f>
        <v>0</v>
      </c>
      <c r="AG124" s="7">
        <f ca="1">[1]!b_calc_curve_chinabond("1082",AG$1,$B124)</f>
        <v>0</v>
      </c>
      <c r="AH124" s="7">
        <f ca="1">[1]!b_calc_curve_chinabond("1082",AH$1,$B124)</f>
        <v>0</v>
      </c>
      <c r="AI124" s="7">
        <f ca="1">[1]!b_calc_curve_chinabond("1082",AI$1,$B124)</f>
        <v>0</v>
      </c>
    </row>
    <row r="125" spans="1:35" ht="19.5" customHeight="1">
      <c r="A125" s="3" t="s">
        <v>125</v>
      </c>
      <c r="B125" s="4">
        <v>11.7</v>
      </c>
      <c r="C125" s="7">
        <f ca="1">[1]!b_calc_curve_chinabond("1082",C$1,$B125)</f>
        <v>2.4049999999999998</v>
      </c>
      <c r="D125" s="7">
        <f ca="1">[1]!b_calc_curve_chinabond("1082",D$1,$B125)</f>
        <v>2.4083000000000001</v>
      </c>
      <c r="E125" s="7">
        <f ca="1">[1]!b_calc_curve_chinabond("1082",E$1,$B125)</f>
        <v>0</v>
      </c>
      <c r="F125" s="7">
        <f ca="1">[1]!b_calc_curve_chinabond("1082",F$1,$B125)</f>
        <v>0</v>
      </c>
      <c r="G125" s="7">
        <f ca="1">[1]!b_calc_curve_chinabond("1082",G$1,$B125)</f>
        <v>2.4077000000000002</v>
      </c>
      <c r="H125" s="7">
        <f ca="1">[1]!b_calc_curve_chinabond("1082",H$1,$B125)</f>
        <v>2.3864000000000001</v>
      </c>
      <c r="I125" s="7">
        <f ca="1">[1]!b_calc_curve_chinabond("1082",I$1,$B125)</f>
        <v>2.3792</v>
      </c>
      <c r="J125" s="7">
        <f ca="1">[1]!b_calc_curve_chinabond("1082",J$1,$B125)</f>
        <v>2.3685</v>
      </c>
      <c r="K125" s="7">
        <f ca="1">[1]!b_calc_curve_chinabond("1082",K$1,$B125)</f>
        <v>2.3386</v>
      </c>
      <c r="L125" s="7">
        <f ca="1">[1]!b_calc_curve_chinabond("1082",L$1,$B125)</f>
        <v>0</v>
      </c>
      <c r="M125" s="7">
        <f ca="1">[1]!b_calc_curve_chinabond("1082",M$1,$B125)</f>
        <v>0</v>
      </c>
      <c r="N125" s="7">
        <f ca="1">[1]!b_calc_curve_chinabond("1082",N$1,$B125)</f>
        <v>2.331</v>
      </c>
      <c r="O125" s="7">
        <f ca="1">[1]!b_calc_curve_chinabond("1082",O$1,$B125)</f>
        <v>2.3371</v>
      </c>
      <c r="P125" s="7">
        <f ca="1">[1]!b_calc_curve_chinabond("1082",P$1,$B125)</f>
        <v>2.3166000000000002</v>
      </c>
      <c r="Q125" s="7">
        <f ca="1">[1]!b_calc_curve_chinabond("1082",Q$1,$B125)</f>
        <v>2.3028</v>
      </c>
      <c r="R125" s="7">
        <f ca="1">[1]!b_calc_curve_chinabond("1082",R$1,$B125)</f>
        <v>2.3163</v>
      </c>
      <c r="S125" s="7">
        <f ca="1">[1]!b_calc_curve_chinabond("1082",S$1,$B125)</f>
        <v>0</v>
      </c>
      <c r="T125" s="7">
        <f ca="1">[1]!b_calc_curve_chinabond("1082",T$1,$B125)</f>
        <v>0</v>
      </c>
      <c r="U125" s="7">
        <f ca="1">[1]!b_calc_curve_chinabond("1082",U$1,$B125)</f>
        <v>2.3267000000000002</v>
      </c>
      <c r="V125" s="7">
        <f ca="1">[1]!b_calc_curve_chinabond("1082",V$1,$B125)</f>
        <v>2.3411</v>
      </c>
      <c r="W125" s="7">
        <f ca="1">[1]!b_calc_curve_chinabond("1082",W$1,$B125)</f>
        <v>2.3546</v>
      </c>
      <c r="X125" s="7">
        <f ca="1">[1]!b_calc_curve_chinabond("1082",X$1,$B125)</f>
        <v>2.4020999999999999</v>
      </c>
      <c r="Y125" s="7">
        <f ca="1">[1]!b_calc_curve_chinabond("1082",Y$1,$B125)</f>
        <v>2.3805999999999998</v>
      </c>
      <c r="Z125" s="7">
        <f ca="1">[1]!b_calc_curve_chinabond("1082",Z$1,$B125)</f>
        <v>0</v>
      </c>
      <c r="AA125" s="7">
        <f ca="1">[1]!b_calc_curve_chinabond("1082",AA$1,$B125)</f>
        <v>0</v>
      </c>
      <c r="AB125" s="7">
        <f ca="1">[1]!b_calc_curve_chinabond("1082",AB$1,$B125)</f>
        <v>2.3788</v>
      </c>
      <c r="AC125" s="7">
        <f ca="1">[1]!b_calc_curve_chinabond("1082",AC$1,$B125)</f>
        <v>2.3536999999999999</v>
      </c>
      <c r="AD125" s="7">
        <f ca="1">[1]!b_calc_curve_chinabond("1082",AD$1,$B125)</f>
        <v>2.3538999999999999</v>
      </c>
      <c r="AE125" s="7">
        <f ca="1">[1]!b_calc_curve_chinabond("1082",AE$1,$B125)</f>
        <v>2.3494999999999999</v>
      </c>
      <c r="AF125" s="7">
        <f ca="1">[1]!b_calc_curve_chinabond("1082",AF$1,$B125)</f>
        <v>0</v>
      </c>
      <c r="AG125" s="7">
        <f ca="1">[1]!b_calc_curve_chinabond("1082",AG$1,$B125)</f>
        <v>0</v>
      </c>
      <c r="AH125" s="7">
        <f ca="1">[1]!b_calc_curve_chinabond("1082",AH$1,$B125)</f>
        <v>0</v>
      </c>
      <c r="AI125" s="7">
        <f ca="1">[1]!b_calc_curve_chinabond("1082",AI$1,$B125)</f>
        <v>0</v>
      </c>
    </row>
    <row r="126" spans="1:35" ht="19.5" customHeight="1">
      <c r="A126" s="1" t="s">
        <v>126</v>
      </c>
      <c r="B126" s="2">
        <v>11.8</v>
      </c>
      <c r="C126" s="7">
        <f ca="1">[1]!b_calc_curve_chinabond("1082",C$1,$B126)</f>
        <v>2.4104000000000001</v>
      </c>
      <c r="D126" s="7">
        <f ca="1">[1]!b_calc_curve_chinabond("1082",D$1,$B126)</f>
        <v>2.4137</v>
      </c>
      <c r="E126" s="7">
        <f ca="1">[1]!b_calc_curve_chinabond("1082",E$1,$B126)</f>
        <v>0</v>
      </c>
      <c r="F126" s="7">
        <f ca="1">[1]!b_calc_curve_chinabond("1082",F$1,$B126)</f>
        <v>0</v>
      </c>
      <c r="G126" s="7">
        <f ca="1">[1]!b_calc_curve_chinabond("1082",G$1,$B126)</f>
        <v>2.4129</v>
      </c>
      <c r="H126" s="7">
        <f ca="1">[1]!b_calc_curve_chinabond("1082",H$1,$B126)</f>
        <v>2.3921999999999999</v>
      </c>
      <c r="I126" s="7">
        <f ca="1">[1]!b_calc_curve_chinabond("1082",I$1,$B126)</f>
        <v>2.3849</v>
      </c>
      <c r="J126" s="7">
        <f ca="1">[1]!b_calc_curve_chinabond("1082",J$1,$B126)</f>
        <v>2.3742000000000001</v>
      </c>
      <c r="K126" s="7">
        <f ca="1">[1]!b_calc_curve_chinabond("1082",K$1,$B126)</f>
        <v>2.3443000000000001</v>
      </c>
      <c r="L126" s="7">
        <f ca="1">[1]!b_calc_curve_chinabond("1082",L$1,$B126)</f>
        <v>0</v>
      </c>
      <c r="M126" s="7">
        <f ca="1">[1]!b_calc_curve_chinabond("1082",M$1,$B126)</f>
        <v>0</v>
      </c>
      <c r="N126" s="7">
        <f ca="1">[1]!b_calc_curve_chinabond("1082",N$1,$B126)</f>
        <v>2.3365</v>
      </c>
      <c r="O126" s="7">
        <f ca="1">[1]!b_calc_curve_chinabond("1082",O$1,$B126)</f>
        <v>2.3420999999999998</v>
      </c>
      <c r="P126" s="7">
        <f ca="1">[1]!b_calc_curve_chinabond("1082",P$1,$B126)</f>
        <v>2.3218999999999999</v>
      </c>
      <c r="Q126" s="7">
        <f ca="1">[1]!b_calc_curve_chinabond("1082",Q$1,$B126)</f>
        <v>2.3081999999999998</v>
      </c>
      <c r="R126" s="7">
        <f ca="1">[1]!b_calc_curve_chinabond("1082",R$1,$B126)</f>
        <v>2.3216000000000001</v>
      </c>
      <c r="S126" s="7">
        <f ca="1">[1]!b_calc_curve_chinabond("1082",S$1,$B126)</f>
        <v>0</v>
      </c>
      <c r="T126" s="7">
        <f ca="1">[1]!b_calc_curve_chinabond("1082",T$1,$B126)</f>
        <v>0</v>
      </c>
      <c r="U126" s="7">
        <f ca="1">[1]!b_calc_curve_chinabond("1082",U$1,$B126)</f>
        <v>2.3319999999999999</v>
      </c>
      <c r="V126" s="7">
        <f ca="1">[1]!b_calc_curve_chinabond("1082",V$1,$B126)</f>
        <v>2.3460999999999999</v>
      </c>
      <c r="W126" s="7">
        <f ca="1">[1]!b_calc_curve_chinabond("1082",W$1,$B126)</f>
        <v>2.3593999999999999</v>
      </c>
      <c r="X126" s="7">
        <f ca="1">[1]!b_calc_curve_chinabond("1082",X$1,$B126)</f>
        <v>2.4068000000000001</v>
      </c>
      <c r="Y126" s="7">
        <f ca="1">[1]!b_calc_curve_chinabond("1082",Y$1,$B126)</f>
        <v>2.3856000000000002</v>
      </c>
      <c r="Z126" s="7">
        <f ca="1">[1]!b_calc_curve_chinabond("1082",Z$1,$B126)</f>
        <v>0</v>
      </c>
      <c r="AA126" s="7">
        <f ca="1">[1]!b_calc_curve_chinabond("1082",AA$1,$B126)</f>
        <v>0</v>
      </c>
      <c r="AB126" s="7">
        <f ca="1">[1]!b_calc_curve_chinabond("1082",AB$1,$B126)</f>
        <v>2.3837999999999999</v>
      </c>
      <c r="AC126" s="7">
        <f ca="1">[1]!b_calc_curve_chinabond("1082",AC$1,$B126)</f>
        <v>2.3588</v>
      </c>
      <c r="AD126" s="7">
        <f ca="1">[1]!b_calc_curve_chinabond("1082",AD$1,$B126)</f>
        <v>2.3586999999999998</v>
      </c>
      <c r="AE126" s="7">
        <f ca="1">[1]!b_calc_curve_chinabond("1082",AE$1,$B126)</f>
        <v>2.3542000000000001</v>
      </c>
      <c r="AF126" s="7">
        <f ca="1">[1]!b_calc_curve_chinabond("1082",AF$1,$B126)</f>
        <v>0</v>
      </c>
      <c r="AG126" s="7">
        <f ca="1">[1]!b_calc_curve_chinabond("1082",AG$1,$B126)</f>
        <v>0</v>
      </c>
      <c r="AH126" s="7">
        <f ca="1">[1]!b_calc_curve_chinabond("1082",AH$1,$B126)</f>
        <v>0</v>
      </c>
      <c r="AI126" s="7">
        <f ca="1">[1]!b_calc_curve_chinabond("1082",AI$1,$B126)</f>
        <v>0</v>
      </c>
    </row>
    <row r="127" spans="1:35" ht="19.5" customHeight="1">
      <c r="A127" s="3" t="s">
        <v>127</v>
      </c>
      <c r="B127" s="4">
        <v>11.9</v>
      </c>
      <c r="C127" s="7">
        <f ca="1">[1]!b_calc_curve_chinabond("1082",C$1,$B127)</f>
        <v>2.4159999999999999</v>
      </c>
      <c r="D127" s="7">
        <f ca="1">[1]!b_calc_curve_chinabond("1082",D$1,$B127)</f>
        <v>2.4192</v>
      </c>
      <c r="E127" s="7">
        <f ca="1">[1]!b_calc_curve_chinabond("1082",E$1,$B127)</f>
        <v>0</v>
      </c>
      <c r="F127" s="7">
        <f ca="1">[1]!b_calc_curve_chinabond("1082",F$1,$B127)</f>
        <v>0</v>
      </c>
      <c r="G127" s="7">
        <f ca="1">[1]!b_calc_curve_chinabond("1082",G$1,$B127)</f>
        <v>2.4182000000000001</v>
      </c>
      <c r="H127" s="7">
        <f ca="1">[1]!b_calc_curve_chinabond("1082",H$1,$B127)</f>
        <v>2.3980000000000001</v>
      </c>
      <c r="I127" s="7">
        <f ca="1">[1]!b_calc_curve_chinabond("1082",I$1,$B127)</f>
        <v>2.3906999999999998</v>
      </c>
      <c r="J127" s="7">
        <f ca="1">[1]!b_calc_curve_chinabond("1082",J$1,$B127)</f>
        <v>2.38</v>
      </c>
      <c r="K127" s="7">
        <f ca="1">[1]!b_calc_curve_chinabond("1082",K$1,$B127)</f>
        <v>2.35</v>
      </c>
      <c r="L127" s="7">
        <f ca="1">[1]!b_calc_curve_chinabond("1082",L$1,$B127)</f>
        <v>0</v>
      </c>
      <c r="M127" s="7">
        <f ca="1">[1]!b_calc_curve_chinabond("1082",M$1,$B127)</f>
        <v>0</v>
      </c>
      <c r="N127" s="7">
        <f ca="1">[1]!b_calc_curve_chinabond("1082",N$1,$B127)</f>
        <v>2.3420999999999998</v>
      </c>
      <c r="O127" s="7">
        <f ca="1">[1]!b_calc_curve_chinabond("1082",O$1,$B127)</f>
        <v>2.3472</v>
      </c>
      <c r="P127" s="7">
        <f ca="1">[1]!b_calc_curve_chinabond("1082",P$1,$B127)</f>
        <v>2.3271999999999999</v>
      </c>
      <c r="Q127" s="7">
        <f ca="1">[1]!b_calc_curve_chinabond("1082",Q$1,$B127)</f>
        <v>2.3138000000000001</v>
      </c>
      <c r="R127" s="7">
        <f ca="1">[1]!b_calc_curve_chinabond("1082",R$1,$B127)</f>
        <v>2.3269000000000002</v>
      </c>
      <c r="S127" s="7">
        <f ca="1">[1]!b_calc_curve_chinabond("1082",S$1,$B127)</f>
        <v>0</v>
      </c>
      <c r="T127" s="7">
        <f ca="1">[1]!b_calc_curve_chinabond("1082",T$1,$B127)</f>
        <v>0</v>
      </c>
      <c r="U127" s="7">
        <f ca="1">[1]!b_calc_curve_chinabond("1082",U$1,$B127)</f>
        <v>2.3372999999999999</v>
      </c>
      <c r="V127" s="7">
        <f ca="1">[1]!b_calc_curve_chinabond("1082",V$1,$B127)</f>
        <v>2.3512</v>
      </c>
      <c r="W127" s="7">
        <f ca="1">[1]!b_calc_curve_chinabond("1082",W$1,$B127)</f>
        <v>2.3643000000000001</v>
      </c>
      <c r="X127" s="7">
        <f ca="1">[1]!b_calc_curve_chinabond("1082",X$1,$B127)</f>
        <v>2.4114</v>
      </c>
      <c r="Y127" s="7">
        <f ca="1">[1]!b_calc_curve_chinabond("1082",Y$1,$B127)</f>
        <v>2.3906000000000001</v>
      </c>
      <c r="Z127" s="7">
        <f ca="1">[1]!b_calc_curve_chinabond("1082",Z$1,$B127)</f>
        <v>0</v>
      </c>
      <c r="AA127" s="7">
        <f ca="1">[1]!b_calc_curve_chinabond("1082",AA$1,$B127)</f>
        <v>0</v>
      </c>
      <c r="AB127" s="7">
        <f ca="1">[1]!b_calc_curve_chinabond("1082",AB$1,$B127)</f>
        <v>2.3887999999999998</v>
      </c>
      <c r="AC127" s="7">
        <f ca="1">[1]!b_calc_curve_chinabond("1082",AC$1,$B127)</f>
        <v>2.3639999999999999</v>
      </c>
      <c r="AD127" s="7">
        <f ca="1">[1]!b_calc_curve_chinabond("1082",AD$1,$B127)</f>
        <v>2.3637000000000001</v>
      </c>
      <c r="AE127" s="7">
        <f ca="1">[1]!b_calc_curve_chinabond("1082",AE$1,$B127)</f>
        <v>2.359</v>
      </c>
      <c r="AF127" s="7">
        <f ca="1">[1]!b_calc_curve_chinabond("1082",AF$1,$B127)</f>
        <v>0</v>
      </c>
      <c r="AG127" s="7">
        <f ca="1">[1]!b_calc_curve_chinabond("1082",AG$1,$B127)</f>
        <v>0</v>
      </c>
      <c r="AH127" s="7">
        <f ca="1">[1]!b_calc_curve_chinabond("1082",AH$1,$B127)</f>
        <v>0</v>
      </c>
      <c r="AI127" s="7">
        <f ca="1">[1]!b_calc_curve_chinabond("1082",AI$1,$B127)</f>
        <v>0</v>
      </c>
    </row>
    <row r="128" spans="1:35" ht="19.5" customHeight="1">
      <c r="A128" s="1" t="s">
        <v>128</v>
      </c>
      <c r="B128" s="2">
        <v>12</v>
      </c>
      <c r="C128" s="7">
        <f ca="1">[1]!b_calc_curve_chinabond("1082",C$1,$B128)</f>
        <v>2.4215</v>
      </c>
      <c r="D128" s="7">
        <f ca="1">[1]!b_calc_curve_chinabond("1082",D$1,$B128)</f>
        <v>2.4247000000000001</v>
      </c>
      <c r="E128" s="7">
        <f ca="1">[1]!b_calc_curve_chinabond("1082",E$1,$B128)</f>
        <v>0</v>
      </c>
      <c r="F128" s="7">
        <f ca="1">[1]!b_calc_curve_chinabond("1082",F$1,$B128)</f>
        <v>0</v>
      </c>
      <c r="G128" s="7">
        <f ca="1">[1]!b_calc_curve_chinabond("1082",G$1,$B128)</f>
        <v>2.4235000000000002</v>
      </c>
      <c r="H128" s="7">
        <f ca="1">[1]!b_calc_curve_chinabond("1082",H$1,$B128)</f>
        <v>2.4039000000000001</v>
      </c>
      <c r="I128" s="7">
        <f ca="1">[1]!b_calc_curve_chinabond("1082",I$1,$B128)</f>
        <v>2.3965000000000001</v>
      </c>
      <c r="J128" s="7">
        <f ca="1">[1]!b_calc_curve_chinabond("1082",J$1,$B128)</f>
        <v>2.3858999999999999</v>
      </c>
      <c r="K128" s="7">
        <f ca="1">[1]!b_calc_curve_chinabond("1082",K$1,$B128)</f>
        <v>2.3559000000000001</v>
      </c>
      <c r="L128" s="7">
        <f ca="1">[1]!b_calc_curve_chinabond("1082",L$1,$B128)</f>
        <v>0</v>
      </c>
      <c r="M128" s="7">
        <f ca="1">[1]!b_calc_curve_chinabond("1082",M$1,$B128)</f>
        <v>0</v>
      </c>
      <c r="N128" s="7">
        <f ca="1">[1]!b_calc_curve_chinabond("1082",N$1,$B128)</f>
        <v>2.3477999999999999</v>
      </c>
      <c r="O128" s="7">
        <f ca="1">[1]!b_calc_curve_chinabond("1082",O$1,$B128)</f>
        <v>2.3523000000000001</v>
      </c>
      <c r="P128" s="7">
        <f ca="1">[1]!b_calc_curve_chinabond("1082",P$1,$B128)</f>
        <v>2.3327</v>
      </c>
      <c r="Q128" s="7">
        <f ca="1">[1]!b_calc_curve_chinabond("1082",Q$1,$B128)</f>
        <v>2.3193999999999999</v>
      </c>
      <c r="R128" s="7">
        <f ca="1">[1]!b_calc_curve_chinabond("1082",R$1,$B128)</f>
        <v>2.3323</v>
      </c>
      <c r="S128" s="7">
        <f ca="1">[1]!b_calc_curve_chinabond("1082",S$1,$B128)</f>
        <v>0</v>
      </c>
      <c r="T128" s="7">
        <f ca="1">[1]!b_calc_curve_chinabond("1082",T$1,$B128)</f>
        <v>0</v>
      </c>
      <c r="U128" s="7">
        <f ca="1">[1]!b_calc_curve_chinabond("1082",U$1,$B128)</f>
        <v>2.3426999999999998</v>
      </c>
      <c r="V128" s="7">
        <f ca="1">[1]!b_calc_curve_chinabond("1082",V$1,$B128)</f>
        <v>2.3563000000000001</v>
      </c>
      <c r="W128" s="7">
        <f ca="1">[1]!b_calc_curve_chinabond("1082",W$1,$B128)</f>
        <v>2.3693</v>
      </c>
      <c r="X128" s="7">
        <f ca="1">[1]!b_calc_curve_chinabond("1082",X$1,$B128)</f>
        <v>2.4161000000000001</v>
      </c>
      <c r="Y128" s="7">
        <f ca="1">[1]!b_calc_curve_chinabond("1082",Y$1,$B128)</f>
        <v>2.3957999999999999</v>
      </c>
      <c r="Z128" s="7">
        <f ca="1">[1]!b_calc_curve_chinabond("1082",Z$1,$B128)</f>
        <v>0</v>
      </c>
      <c r="AA128" s="7">
        <f ca="1">[1]!b_calc_curve_chinabond("1082",AA$1,$B128)</f>
        <v>0</v>
      </c>
      <c r="AB128" s="7">
        <f ca="1">[1]!b_calc_curve_chinabond("1082",AB$1,$B128)</f>
        <v>2.3938000000000001</v>
      </c>
      <c r="AC128" s="7">
        <f ca="1">[1]!b_calc_curve_chinabond("1082",AC$1,$B128)</f>
        <v>2.3693</v>
      </c>
      <c r="AD128" s="7">
        <f ca="1">[1]!b_calc_curve_chinabond("1082",AD$1,$B128)</f>
        <v>2.3687</v>
      </c>
      <c r="AE128" s="7">
        <f ca="1">[1]!b_calc_curve_chinabond("1082",AE$1,$B128)</f>
        <v>2.3637999999999999</v>
      </c>
      <c r="AF128" s="7">
        <f ca="1">[1]!b_calc_curve_chinabond("1082",AF$1,$B128)</f>
        <v>0</v>
      </c>
      <c r="AG128" s="7">
        <f ca="1">[1]!b_calc_curve_chinabond("1082",AG$1,$B128)</f>
        <v>0</v>
      </c>
      <c r="AH128" s="7">
        <f ca="1">[1]!b_calc_curve_chinabond("1082",AH$1,$B128)</f>
        <v>0</v>
      </c>
      <c r="AI128" s="7">
        <f ca="1">[1]!b_calc_curve_chinabond("1082",AI$1,$B128)</f>
        <v>0</v>
      </c>
    </row>
    <row r="129" spans="1:35" ht="19.5" customHeight="1">
      <c r="A129" s="3" t="s">
        <v>129</v>
      </c>
      <c r="B129" s="4">
        <v>12.1</v>
      </c>
      <c r="C129" s="7">
        <f ca="1">[1]!b_calc_curve_chinabond("1082",C$1,$B129)</f>
        <v>2.4272</v>
      </c>
      <c r="D129" s="7">
        <f ca="1">[1]!b_calc_curve_chinabond("1082",D$1,$B129)</f>
        <v>2.4302999999999999</v>
      </c>
      <c r="E129" s="7">
        <f ca="1">[1]!b_calc_curve_chinabond("1082",E$1,$B129)</f>
        <v>0</v>
      </c>
      <c r="F129" s="7">
        <f ca="1">[1]!b_calc_curve_chinabond("1082",F$1,$B129)</f>
        <v>0</v>
      </c>
      <c r="G129" s="7">
        <f ca="1">[1]!b_calc_curve_chinabond("1082",G$1,$B129)</f>
        <v>2.4289000000000001</v>
      </c>
      <c r="H129" s="7">
        <f ca="1">[1]!b_calc_curve_chinabond("1082",H$1,$B129)</f>
        <v>2.4098999999999999</v>
      </c>
      <c r="I129" s="7">
        <f ca="1">[1]!b_calc_curve_chinabond("1082",I$1,$B129)</f>
        <v>2.4024000000000001</v>
      </c>
      <c r="J129" s="7">
        <f ca="1">[1]!b_calc_curve_chinabond("1082",J$1,$B129)</f>
        <v>2.3917999999999999</v>
      </c>
      <c r="K129" s="7">
        <f ca="1">[1]!b_calc_curve_chinabond("1082",K$1,$B129)</f>
        <v>2.3618999999999999</v>
      </c>
      <c r="L129" s="7">
        <f ca="1">[1]!b_calc_curve_chinabond("1082",L$1,$B129)</f>
        <v>0</v>
      </c>
      <c r="M129" s="7">
        <f ca="1">[1]!b_calc_curve_chinabond("1082",M$1,$B129)</f>
        <v>0</v>
      </c>
      <c r="N129" s="7">
        <f ca="1">[1]!b_calc_curve_chinabond("1082",N$1,$B129)</f>
        <v>2.3536000000000001</v>
      </c>
      <c r="O129" s="7">
        <f ca="1">[1]!b_calc_curve_chinabond("1082",O$1,$B129)</f>
        <v>2.3574999999999999</v>
      </c>
      <c r="P129" s="7">
        <f ca="1">[1]!b_calc_curve_chinabond("1082",P$1,$B129)</f>
        <v>2.3382999999999998</v>
      </c>
      <c r="Q129" s="7">
        <f ca="1">[1]!b_calc_curve_chinabond("1082",Q$1,$B129)</f>
        <v>2.3252999999999999</v>
      </c>
      <c r="R129" s="7">
        <f ca="1">[1]!b_calc_curve_chinabond("1082",R$1,$B129)</f>
        <v>2.3378000000000001</v>
      </c>
      <c r="S129" s="7">
        <f ca="1">[1]!b_calc_curve_chinabond("1082",S$1,$B129)</f>
        <v>0</v>
      </c>
      <c r="T129" s="7">
        <f ca="1">[1]!b_calc_curve_chinabond("1082",T$1,$B129)</f>
        <v>0</v>
      </c>
      <c r="U129" s="7">
        <f ca="1">[1]!b_calc_curve_chinabond("1082",U$1,$B129)</f>
        <v>2.3481000000000001</v>
      </c>
      <c r="V129" s="7">
        <f ca="1">[1]!b_calc_curve_chinabond("1082",V$1,$B129)</f>
        <v>2.3614999999999999</v>
      </c>
      <c r="W129" s="7">
        <f ca="1">[1]!b_calc_curve_chinabond("1082",W$1,$B129)</f>
        <v>2.3742999999999999</v>
      </c>
      <c r="X129" s="7">
        <f ca="1">[1]!b_calc_curve_chinabond("1082",X$1,$B129)</f>
        <v>2.4207000000000001</v>
      </c>
      <c r="Y129" s="7">
        <f ca="1">[1]!b_calc_curve_chinabond("1082",Y$1,$B129)</f>
        <v>2.4009999999999998</v>
      </c>
      <c r="Z129" s="7">
        <f ca="1">[1]!b_calc_curve_chinabond("1082",Z$1,$B129)</f>
        <v>0</v>
      </c>
      <c r="AA129" s="7">
        <f ca="1">[1]!b_calc_curve_chinabond("1082",AA$1,$B129)</f>
        <v>0</v>
      </c>
      <c r="AB129" s="7">
        <f ca="1">[1]!b_calc_curve_chinabond("1082",AB$1,$B129)</f>
        <v>2.399</v>
      </c>
      <c r="AC129" s="7">
        <f ca="1">[1]!b_calc_curve_chinabond("1082",AC$1,$B129)</f>
        <v>2.3748</v>
      </c>
      <c r="AD129" s="7">
        <f ca="1">[1]!b_calc_curve_chinabond("1082",AD$1,$B129)</f>
        <v>2.3738000000000001</v>
      </c>
      <c r="AE129" s="7">
        <f ca="1">[1]!b_calc_curve_chinabond("1082",AE$1,$B129)</f>
        <v>2.3685999999999998</v>
      </c>
      <c r="AF129" s="7">
        <f ca="1">[1]!b_calc_curve_chinabond("1082",AF$1,$B129)</f>
        <v>0</v>
      </c>
      <c r="AG129" s="7">
        <f ca="1">[1]!b_calc_curve_chinabond("1082",AG$1,$B129)</f>
        <v>0</v>
      </c>
      <c r="AH129" s="7">
        <f ca="1">[1]!b_calc_curve_chinabond("1082",AH$1,$B129)</f>
        <v>0</v>
      </c>
      <c r="AI129" s="7">
        <f ca="1">[1]!b_calc_curve_chinabond("1082",AI$1,$B129)</f>
        <v>0</v>
      </c>
    </row>
    <row r="130" spans="1:35" ht="19.5" customHeight="1">
      <c r="A130" s="1" t="s">
        <v>130</v>
      </c>
      <c r="B130" s="2">
        <v>12.2</v>
      </c>
      <c r="C130" s="7">
        <f ca="1">[1]!b_calc_curve_chinabond("1082",C$1,$B130)</f>
        <v>2.4327999999999999</v>
      </c>
      <c r="D130" s="7">
        <f ca="1">[1]!b_calc_curve_chinabond("1082",D$1,$B130)</f>
        <v>2.4359000000000002</v>
      </c>
      <c r="E130" s="7">
        <f ca="1">[1]!b_calc_curve_chinabond("1082",E$1,$B130)</f>
        <v>0</v>
      </c>
      <c r="F130" s="7">
        <f ca="1">[1]!b_calc_curve_chinabond("1082",F$1,$B130)</f>
        <v>0</v>
      </c>
      <c r="G130" s="7">
        <f ca="1">[1]!b_calc_curve_chinabond("1082",G$1,$B130)</f>
        <v>2.4342000000000001</v>
      </c>
      <c r="H130" s="7">
        <f ca="1">[1]!b_calc_curve_chinabond("1082",H$1,$B130)</f>
        <v>2.4159000000000002</v>
      </c>
      <c r="I130" s="7">
        <f ca="1">[1]!b_calc_curve_chinabond("1082",I$1,$B130)</f>
        <v>2.4083999999999999</v>
      </c>
      <c r="J130" s="7">
        <f ca="1">[1]!b_calc_curve_chinabond("1082",J$1,$B130)</f>
        <v>2.3978000000000002</v>
      </c>
      <c r="K130" s="7">
        <f ca="1">[1]!b_calc_curve_chinabond("1082",K$1,$B130)</f>
        <v>2.3679999999999999</v>
      </c>
      <c r="L130" s="7">
        <f ca="1">[1]!b_calc_curve_chinabond("1082",L$1,$B130)</f>
        <v>0</v>
      </c>
      <c r="M130" s="7">
        <f ca="1">[1]!b_calc_curve_chinabond("1082",M$1,$B130)</f>
        <v>0</v>
      </c>
      <c r="N130" s="7">
        <f ca="1">[1]!b_calc_curve_chinabond("1082",N$1,$B130)</f>
        <v>2.3595000000000002</v>
      </c>
      <c r="O130" s="7">
        <f ca="1">[1]!b_calc_curve_chinabond("1082",O$1,$B130)</f>
        <v>2.3626999999999998</v>
      </c>
      <c r="P130" s="7">
        <f ca="1">[1]!b_calc_curve_chinabond("1082",P$1,$B130)</f>
        <v>2.3439000000000001</v>
      </c>
      <c r="Q130" s="7">
        <f ca="1">[1]!b_calc_curve_chinabond("1082",Q$1,$B130)</f>
        <v>2.3311999999999999</v>
      </c>
      <c r="R130" s="7">
        <f ca="1">[1]!b_calc_curve_chinabond("1082",R$1,$B130)</f>
        <v>2.3433000000000002</v>
      </c>
      <c r="S130" s="7">
        <f ca="1">[1]!b_calc_curve_chinabond("1082",S$1,$B130)</f>
        <v>0</v>
      </c>
      <c r="T130" s="7">
        <f ca="1">[1]!b_calc_curve_chinabond("1082",T$1,$B130)</f>
        <v>0</v>
      </c>
      <c r="U130" s="7">
        <f ca="1">[1]!b_calc_curve_chinabond("1082",U$1,$B130)</f>
        <v>2.3536000000000001</v>
      </c>
      <c r="V130" s="7">
        <f ca="1">[1]!b_calc_curve_chinabond("1082",V$1,$B130)</f>
        <v>2.3666999999999998</v>
      </c>
      <c r="W130" s="7">
        <f ca="1">[1]!b_calc_curve_chinabond("1082",W$1,$B130)</f>
        <v>2.3794</v>
      </c>
      <c r="X130" s="7">
        <f ca="1">[1]!b_calc_curve_chinabond("1082",X$1,$B130)</f>
        <v>2.4253</v>
      </c>
      <c r="Y130" s="7">
        <f ca="1">[1]!b_calc_curve_chinabond("1082",Y$1,$B130)</f>
        <v>2.4064000000000001</v>
      </c>
      <c r="Z130" s="7">
        <f ca="1">[1]!b_calc_curve_chinabond("1082",Z$1,$B130)</f>
        <v>0</v>
      </c>
      <c r="AA130" s="7">
        <f ca="1">[1]!b_calc_curve_chinabond("1082",AA$1,$B130)</f>
        <v>0</v>
      </c>
      <c r="AB130" s="7">
        <f ca="1">[1]!b_calc_curve_chinabond("1082",AB$1,$B130)</f>
        <v>2.4041999999999999</v>
      </c>
      <c r="AC130" s="7">
        <f ca="1">[1]!b_calc_curve_chinabond("1082",AC$1,$B130)</f>
        <v>2.3803999999999998</v>
      </c>
      <c r="AD130" s="7">
        <f ca="1">[1]!b_calc_curve_chinabond("1082",AD$1,$B130)</f>
        <v>2.3788999999999998</v>
      </c>
      <c r="AE130" s="7">
        <f ca="1">[1]!b_calc_curve_chinabond("1082",AE$1,$B130)</f>
        <v>2.3734000000000002</v>
      </c>
      <c r="AF130" s="7">
        <f ca="1">[1]!b_calc_curve_chinabond("1082",AF$1,$B130)</f>
        <v>0</v>
      </c>
      <c r="AG130" s="7">
        <f ca="1">[1]!b_calc_curve_chinabond("1082",AG$1,$B130)</f>
        <v>0</v>
      </c>
      <c r="AH130" s="7">
        <f ca="1">[1]!b_calc_curve_chinabond("1082",AH$1,$B130)</f>
        <v>0</v>
      </c>
      <c r="AI130" s="7">
        <f ca="1">[1]!b_calc_curve_chinabond("1082",AI$1,$B130)</f>
        <v>0</v>
      </c>
    </row>
    <row r="131" spans="1:35" ht="19.5" customHeight="1">
      <c r="A131" s="3" t="s">
        <v>131</v>
      </c>
      <c r="B131" s="4">
        <v>12.3</v>
      </c>
      <c r="C131" s="7">
        <f ca="1">[1]!b_calc_curve_chinabond("1082",C$1,$B131)</f>
        <v>2.4386000000000001</v>
      </c>
      <c r="D131" s="7">
        <f ca="1">[1]!b_calc_curve_chinabond("1082",D$1,$B131)</f>
        <v>2.4415</v>
      </c>
      <c r="E131" s="7">
        <f ca="1">[1]!b_calc_curve_chinabond("1082",E$1,$B131)</f>
        <v>0</v>
      </c>
      <c r="F131" s="7">
        <f ca="1">[1]!b_calc_curve_chinabond("1082",F$1,$B131)</f>
        <v>0</v>
      </c>
      <c r="G131" s="7">
        <f ca="1">[1]!b_calc_curve_chinabond("1082",G$1,$B131)</f>
        <v>2.4396</v>
      </c>
      <c r="H131" s="7">
        <f ca="1">[1]!b_calc_curve_chinabond("1082",H$1,$B131)</f>
        <v>2.4220000000000002</v>
      </c>
      <c r="I131" s="7">
        <f ca="1">[1]!b_calc_curve_chinabond("1082",I$1,$B131)</f>
        <v>2.4144000000000001</v>
      </c>
      <c r="J131" s="7">
        <f ca="1">[1]!b_calc_curve_chinabond("1082",J$1,$B131)</f>
        <v>2.4039000000000001</v>
      </c>
      <c r="K131" s="7">
        <f ca="1">[1]!b_calc_curve_chinabond("1082",K$1,$B131)</f>
        <v>2.3742000000000001</v>
      </c>
      <c r="L131" s="7">
        <f ca="1">[1]!b_calc_curve_chinabond("1082",L$1,$B131)</f>
        <v>0</v>
      </c>
      <c r="M131" s="7">
        <f ca="1">[1]!b_calc_curve_chinabond("1082",M$1,$B131)</f>
        <v>0</v>
      </c>
      <c r="N131" s="7">
        <f ca="1">[1]!b_calc_curve_chinabond("1082",N$1,$B131)</f>
        <v>2.3654999999999999</v>
      </c>
      <c r="O131" s="7">
        <f ca="1">[1]!b_calc_curve_chinabond("1082",O$1,$B131)</f>
        <v>2.3679000000000001</v>
      </c>
      <c r="P131" s="7">
        <f ca="1">[1]!b_calc_curve_chinabond("1082",P$1,$B131)</f>
        <v>2.3496000000000001</v>
      </c>
      <c r="Q131" s="7">
        <f ca="1">[1]!b_calc_curve_chinabond("1082",Q$1,$B131)</f>
        <v>2.3372000000000002</v>
      </c>
      <c r="R131" s="7">
        <f ca="1">[1]!b_calc_curve_chinabond("1082",R$1,$B131)</f>
        <v>2.3488000000000002</v>
      </c>
      <c r="S131" s="7">
        <f ca="1">[1]!b_calc_curve_chinabond("1082",S$1,$B131)</f>
        <v>0</v>
      </c>
      <c r="T131" s="7">
        <f ca="1">[1]!b_calc_curve_chinabond("1082",T$1,$B131)</f>
        <v>0</v>
      </c>
      <c r="U131" s="7">
        <f ca="1">[1]!b_calc_curve_chinabond("1082",U$1,$B131)</f>
        <v>2.3592</v>
      </c>
      <c r="V131" s="7">
        <f ca="1">[1]!b_calc_curve_chinabond("1082",V$1,$B131)</f>
        <v>2.3719999999999999</v>
      </c>
      <c r="W131" s="7">
        <f ca="1">[1]!b_calc_curve_chinabond("1082",W$1,$B131)</f>
        <v>2.3845999999999998</v>
      </c>
      <c r="X131" s="7">
        <f ca="1">[1]!b_calc_curve_chinabond("1082",X$1,$B131)</f>
        <v>2.4298999999999999</v>
      </c>
      <c r="Y131" s="7">
        <f ca="1">[1]!b_calc_curve_chinabond("1082",Y$1,$B131)</f>
        <v>2.4117999999999999</v>
      </c>
      <c r="Z131" s="7">
        <f ca="1">[1]!b_calc_curve_chinabond("1082",Z$1,$B131)</f>
        <v>0</v>
      </c>
      <c r="AA131" s="7">
        <f ca="1">[1]!b_calc_curve_chinabond("1082",AA$1,$B131)</f>
        <v>0</v>
      </c>
      <c r="AB131" s="7">
        <f ca="1">[1]!b_calc_curve_chinabond("1082",AB$1,$B131)</f>
        <v>2.4095</v>
      </c>
      <c r="AC131" s="7">
        <f ca="1">[1]!b_calc_curve_chinabond("1082",AC$1,$B131)</f>
        <v>2.3860000000000001</v>
      </c>
      <c r="AD131" s="7">
        <f ca="1">[1]!b_calc_curve_chinabond("1082",AD$1,$B131)</f>
        <v>2.3841000000000001</v>
      </c>
      <c r="AE131" s="7">
        <f ca="1">[1]!b_calc_curve_chinabond("1082",AE$1,$B131)</f>
        <v>2.3782999999999999</v>
      </c>
      <c r="AF131" s="7">
        <f ca="1">[1]!b_calc_curve_chinabond("1082",AF$1,$B131)</f>
        <v>0</v>
      </c>
      <c r="AG131" s="7">
        <f ca="1">[1]!b_calc_curve_chinabond("1082",AG$1,$B131)</f>
        <v>0</v>
      </c>
      <c r="AH131" s="7">
        <f ca="1">[1]!b_calc_curve_chinabond("1082",AH$1,$B131)</f>
        <v>0</v>
      </c>
      <c r="AI131" s="7">
        <f ca="1">[1]!b_calc_curve_chinabond("1082",AI$1,$B131)</f>
        <v>0</v>
      </c>
    </row>
    <row r="132" spans="1:35" ht="19.5" customHeight="1">
      <c r="A132" s="1" t="s">
        <v>132</v>
      </c>
      <c r="B132" s="2">
        <v>12.4</v>
      </c>
      <c r="C132" s="7">
        <f ca="1">[1]!b_calc_curve_chinabond("1082",C$1,$B132)</f>
        <v>2.4443000000000001</v>
      </c>
      <c r="D132" s="7">
        <f ca="1">[1]!b_calc_curve_chinabond("1082",D$1,$B132)</f>
        <v>2.4472</v>
      </c>
      <c r="E132" s="7">
        <f ca="1">[1]!b_calc_curve_chinabond("1082",E$1,$B132)</f>
        <v>0</v>
      </c>
      <c r="F132" s="7">
        <f ca="1">[1]!b_calc_curve_chinabond("1082",F$1,$B132)</f>
        <v>0</v>
      </c>
      <c r="G132" s="7">
        <f ca="1">[1]!b_calc_curve_chinabond("1082",G$1,$B132)</f>
        <v>2.4449999999999998</v>
      </c>
      <c r="H132" s="7">
        <f ca="1">[1]!b_calc_curve_chinabond("1082",H$1,$B132)</f>
        <v>2.4281000000000001</v>
      </c>
      <c r="I132" s="7">
        <f ca="1">[1]!b_calc_curve_chinabond("1082",I$1,$B132)</f>
        <v>2.4205000000000001</v>
      </c>
      <c r="J132" s="7">
        <f ca="1">[1]!b_calc_curve_chinabond("1082",J$1,$B132)</f>
        <v>2.41</v>
      </c>
      <c r="K132" s="7">
        <f ca="1">[1]!b_calc_curve_chinabond("1082",K$1,$B132)</f>
        <v>2.3805000000000001</v>
      </c>
      <c r="L132" s="7">
        <f ca="1">[1]!b_calc_curve_chinabond("1082",L$1,$B132)</f>
        <v>0</v>
      </c>
      <c r="M132" s="7">
        <f ca="1">[1]!b_calc_curve_chinabond("1082",M$1,$B132)</f>
        <v>0</v>
      </c>
      <c r="N132" s="7">
        <f ca="1">[1]!b_calc_curve_chinabond("1082",N$1,$B132)</f>
        <v>2.3715999999999999</v>
      </c>
      <c r="O132" s="7">
        <f ca="1">[1]!b_calc_curve_chinabond("1082",O$1,$B132)</f>
        <v>2.3731</v>
      </c>
      <c r="P132" s="7">
        <f ca="1">[1]!b_calc_curve_chinabond("1082",P$1,$B132)</f>
        <v>2.3553999999999999</v>
      </c>
      <c r="Q132" s="7">
        <f ca="1">[1]!b_calc_curve_chinabond("1082",Q$1,$B132)</f>
        <v>2.3433000000000002</v>
      </c>
      <c r="R132" s="7">
        <f ca="1">[1]!b_calc_curve_chinabond("1082",R$1,$B132)</f>
        <v>2.3544</v>
      </c>
      <c r="S132" s="7">
        <f ca="1">[1]!b_calc_curve_chinabond("1082",S$1,$B132)</f>
        <v>0</v>
      </c>
      <c r="T132" s="7">
        <f ca="1">[1]!b_calc_curve_chinabond("1082",T$1,$B132)</f>
        <v>0</v>
      </c>
      <c r="U132" s="7">
        <f ca="1">[1]!b_calc_curve_chinabond("1082",U$1,$B132)</f>
        <v>2.3647999999999998</v>
      </c>
      <c r="V132" s="7">
        <f ca="1">[1]!b_calc_curve_chinabond("1082",V$1,$B132)</f>
        <v>2.3773</v>
      </c>
      <c r="W132" s="7">
        <f ca="1">[1]!b_calc_curve_chinabond("1082",W$1,$B132)</f>
        <v>2.3898000000000001</v>
      </c>
      <c r="X132" s="7">
        <f ca="1">[1]!b_calc_curve_chinabond("1082",X$1,$B132)</f>
        <v>2.4344999999999999</v>
      </c>
      <c r="Y132" s="7">
        <f ca="1">[1]!b_calc_curve_chinabond("1082",Y$1,$B132)</f>
        <v>2.4171999999999998</v>
      </c>
      <c r="Z132" s="7">
        <f ca="1">[1]!b_calc_curve_chinabond("1082",Z$1,$B132)</f>
        <v>0</v>
      </c>
      <c r="AA132" s="7">
        <f ca="1">[1]!b_calc_curve_chinabond("1082",AA$1,$B132)</f>
        <v>0</v>
      </c>
      <c r="AB132" s="7">
        <f ca="1">[1]!b_calc_curve_chinabond("1082",AB$1,$B132)</f>
        <v>2.4148000000000001</v>
      </c>
      <c r="AC132" s="7">
        <f ca="1">[1]!b_calc_curve_chinabond("1082",AC$1,$B132)</f>
        <v>2.3917999999999999</v>
      </c>
      <c r="AD132" s="7">
        <f ca="1">[1]!b_calc_curve_chinabond("1082",AD$1,$B132)</f>
        <v>2.3893</v>
      </c>
      <c r="AE132" s="7">
        <f ca="1">[1]!b_calc_curve_chinabond("1082",AE$1,$B132)</f>
        <v>2.3833000000000002</v>
      </c>
      <c r="AF132" s="7">
        <f ca="1">[1]!b_calc_curve_chinabond("1082",AF$1,$B132)</f>
        <v>0</v>
      </c>
      <c r="AG132" s="7">
        <f ca="1">[1]!b_calc_curve_chinabond("1082",AG$1,$B132)</f>
        <v>0</v>
      </c>
      <c r="AH132" s="7">
        <f ca="1">[1]!b_calc_curve_chinabond("1082",AH$1,$B132)</f>
        <v>0</v>
      </c>
      <c r="AI132" s="7">
        <f ca="1">[1]!b_calc_curve_chinabond("1082",AI$1,$B132)</f>
        <v>0</v>
      </c>
    </row>
    <row r="133" spans="1:35" ht="19.5" customHeight="1">
      <c r="A133" s="3" t="s">
        <v>133</v>
      </c>
      <c r="B133" s="4">
        <v>12.5</v>
      </c>
      <c r="C133" s="7">
        <f ca="1">[1]!b_calc_curve_chinabond("1082",C$1,$B133)</f>
        <v>2.4500999999999999</v>
      </c>
      <c r="D133" s="7">
        <f ca="1">[1]!b_calc_curve_chinabond("1082",D$1,$B133)</f>
        <v>2.4529000000000001</v>
      </c>
      <c r="E133" s="7">
        <f ca="1">[1]!b_calc_curve_chinabond("1082",E$1,$B133)</f>
        <v>0</v>
      </c>
      <c r="F133" s="7">
        <f ca="1">[1]!b_calc_curve_chinabond("1082",F$1,$B133)</f>
        <v>0</v>
      </c>
      <c r="G133" s="7">
        <f ca="1">[1]!b_calc_curve_chinabond("1082",G$1,$B133)</f>
        <v>2.4504999999999999</v>
      </c>
      <c r="H133" s="7">
        <f ca="1">[1]!b_calc_curve_chinabond("1082",H$1,$B133)</f>
        <v>2.4342999999999999</v>
      </c>
      <c r="I133" s="7">
        <f ca="1">[1]!b_calc_curve_chinabond("1082",I$1,$B133)</f>
        <v>2.4266000000000001</v>
      </c>
      <c r="J133" s="7">
        <f ca="1">[1]!b_calc_curve_chinabond("1082",J$1,$B133)</f>
        <v>2.4161000000000001</v>
      </c>
      <c r="K133" s="7">
        <f ca="1">[1]!b_calc_curve_chinabond("1082",K$1,$B133)</f>
        <v>2.3868</v>
      </c>
      <c r="L133" s="7">
        <f ca="1">[1]!b_calc_curve_chinabond("1082",L$1,$B133)</f>
        <v>0</v>
      </c>
      <c r="M133" s="7">
        <f ca="1">[1]!b_calc_curve_chinabond("1082",M$1,$B133)</f>
        <v>0</v>
      </c>
      <c r="N133" s="7">
        <f ca="1">[1]!b_calc_curve_chinabond("1082",N$1,$B133)</f>
        <v>2.3778000000000001</v>
      </c>
      <c r="O133" s="7">
        <f ca="1">[1]!b_calc_curve_chinabond("1082",O$1,$B133)</f>
        <v>2.3784000000000001</v>
      </c>
      <c r="P133" s="7">
        <f ca="1">[1]!b_calc_curve_chinabond("1082",P$1,$B133)</f>
        <v>2.3613</v>
      </c>
      <c r="Q133" s="7">
        <f ca="1">[1]!b_calc_curve_chinabond("1082",Q$1,$B133)</f>
        <v>2.3494999999999999</v>
      </c>
      <c r="R133" s="7">
        <f ca="1">[1]!b_calc_curve_chinabond("1082",R$1,$B133)</f>
        <v>2.36</v>
      </c>
      <c r="S133" s="7">
        <f ca="1">[1]!b_calc_curve_chinabond("1082",S$1,$B133)</f>
        <v>0</v>
      </c>
      <c r="T133" s="7">
        <f ca="1">[1]!b_calc_curve_chinabond("1082",T$1,$B133)</f>
        <v>0</v>
      </c>
      <c r="U133" s="7">
        <f ca="1">[1]!b_calc_curve_chinabond("1082",U$1,$B133)</f>
        <v>2.3704000000000001</v>
      </c>
      <c r="V133" s="7">
        <f ca="1">[1]!b_calc_curve_chinabond("1082",V$1,$B133)</f>
        <v>2.3826999999999998</v>
      </c>
      <c r="W133" s="7">
        <f ca="1">[1]!b_calc_curve_chinabond("1082",W$1,$B133)</f>
        <v>2.3950999999999998</v>
      </c>
      <c r="X133" s="7">
        <f ca="1">[1]!b_calc_curve_chinabond("1082",X$1,$B133)</f>
        <v>2.4390999999999998</v>
      </c>
      <c r="Y133" s="7">
        <f ca="1">[1]!b_calc_curve_chinabond("1082",Y$1,$B133)</f>
        <v>2.4226999999999999</v>
      </c>
      <c r="Z133" s="7">
        <f ca="1">[1]!b_calc_curve_chinabond("1082",Z$1,$B133)</f>
        <v>0</v>
      </c>
      <c r="AA133" s="7">
        <f ca="1">[1]!b_calc_curve_chinabond("1082",AA$1,$B133)</f>
        <v>0</v>
      </c>
      <c r="AB133" s="7">
        <f ca="1">[1]!b_calc_curve_chinabond("1082",AB$1,$B133)</f>
        <v>2.4201999999999999</v>
      </c>
      <c r="AC133" s="7">
        <f ca="1">[1]!b_calc_curve_chinabond("1082",AC$1,$B133)</f>
        <v>2.3976000000000002</v>
      </c>
      <c r="AD133" s="7">
        <f ca="1">[1]!b_calc_curve_chinabond("1082",AD$1,$B133)</f>
        <v>2.3946000000000001</v>
      </c>
      <c r="AE133" s="7">
        <f ca="1">[1]!b_calc_curve_chinabond("1082",AE$1,$B133)</f>
        <v>2.3881999999999999</v>
      </c>
      <c r="AF133" s="7">
        <f ca="1">[1]!b_calc_curve_chinabond("1082",AF$1,$B133)</f>
        <v>0</v>
      </c>
      <c r="AG133" s="7">
        <f ca="1">[1]!b_calc_curve_chinabond("1082",AG$1,$B133)</f>
        <v>0</v>
      </c>
      <c r="AH133" s="7">
        <f ca="1">[1]!b_calc_curve_chinabond("1082",AH$1,$B133)</f>
        <v>0</v>
      </c>
      <c r="AI133" s="7">
        <f ca="1">[1]!b_calc_curve_chinabond("1082",AI$1,$B133)</f>
        <v>0</v>
      </c>
    </row>
    <row r="134" spans="1:35" ht="19.5" customHeight="1">
      <c r="A134" s="1" t="s">
        <v>134</v>
      </c>
      <c r="B134" s="2">
        <v>12.6</v>
      </c>
      <c r="C134" s="7">
        <f ca="1">[1]!b_calc_curve_chinabond("1082",C$1,$B134)</f>
        <v>2.456</v>
      </c>
      <c r="D134" s="7">
        <f ca="1">[1]!b_calc_curve_chinabond("1082",D$1,$B134)</f>
        <v>2.4586000000000001</v>
      </c>
      <c r="E134" s="7">
        <f ca="1">[1]!b_calc_curve_chinabond("1082",E$1,$B134)</f>
        <v>0</v>
      </c>
      <c r="F134" s="7">
        <f ca="1">[1]!b_calc_curve_chinabond("1082",F$1,$B134)</f>
        <v>0</v>
      </c>
      <c r="G134" s="7">
        <f ca="1">[1]!b_calc_curve_chinabond("1082",G$1,$B134)</f>
        <v>2.4559000000000002</v>
      </c>
      <c r="H134" s="7">
        <f ca="1">[1]!b_calc_curve_chinabond("1082",H$1,$B134)</f>
        <v>2.4405000000000001</v>
      </c>
      <c r="I134" s="7">
        <f ca="1">[1]!b_calc_curve_chinabond("1082",I$1,$B134)</f>
        <v>2.4327999999999999</v>
      </c>
      <c r="J134" s="7">
        <f ca="1">[1]!b_calc_curve_chinabond("1082",J$1,$B134)</f>
        <v>2.4222999999999999</v>
      </c>
      <c r="K134" s="7">
        <f ca="1">[1]!b_calc_curve_chinabond("1082",K$1,$B134)</f>
        <v>2.3933</v>
      </c>
      <c r="L134" s="7">
        <f ca="1">[1]!b_calc_curve_chinabond("1082",L$1,$B134)</f>
        <v>0</v>
      </c>
      <c r="M134" s="7">
        <f ca="1">[1]!b_calc_curve_chinabond("1082",M$1,$B134)</f>
        <v>0</v>
      </c>
      <c r="N134" s="7">
        <f ca="1">[1]!b_calc_curve_chinabond("1082",N$1,$B134)</f>
        <v>2.3841000000000001</v>
      </c>
      <c r="O134" s="7">
        <f ca="1">[1]!b_calc_curve_chinabond("1082",O$1,$B134)</f>
        <v>2.3837000000000002</v>
      </c>
      <c r="P134" s="7">
        <f ca="1">[1]!b_calc_curve_chinabond("1082",P$1,$B134)</f>
        <v>2.3672</v>
      </c>
      <c r="Q134" s="7">
        <f ca="1">[1]!b_calc_curve_chinabond("1082",Q$1,$B134)</f>
        <v>2.3557999999999999</v>
      </c>
      <c r="R134" s="7">
        <f ca="1">[1]!b_calc_curve_chinabond("1082",R$1,$B134)</f>
        <v>2.3656999999999999</v>
      </c>
      <c r="S134" s="7">
        <f ca="1">[1]!b_calc_curve_chinabond("1082",S$1,$B134)</f>
        <v>0</v>
      </c>
      <c r="T134" s="7">
        <f ca="1">[1]!b_calc_curve_chinabond("1082",T$1,$B134)</f>
        <v>0</v>
      </c>
      <c r="U134" s="7">
        <f ca="1">[1]!b_calc_curve_chinabond("1082",U$1,$B134)</f>
        <v>2.3761000000000001</v>
      </c>
      <c r="V134" s="7">
        <f ca="1">[1]!b_calc_curve_chinabond("1082",V$1,$B134)</f>
        <v>2.3881000000000001</v>
      </c>
      <c r="W134" s="7">
        <f ca="1">[1]!b_calc_curve_chinabond("1082",W$1,$B134)</f>
        <v>2.4003999999999999</v>
      </c>
      <c r="X134" s="7">
        <f ca="1">[1]!b_calc_curve_chinabond("1082",X$1,$B134)</f>
        <v>2.4436</v>
      </c>
      <c r="Y134" s="7">
        <f ca="1">[1]!b_calc_curve_chinabond("1082",Y$1,$B134)</f>
        <v>2.4283000000000001</v>
      </c>
      <c r="Z134" s="7">
        <f ca="1">[1]!b_calc_curve_chinabond("1082",Z$1,$B134)</f>
        <v>0</v>
      </c>
      <c r="AA134" s="7">
        <f ca="1">[1]!b_calc_curve_chinabond("1082",AA$1,$B134)</f>
        <v>0</v>
      </c>
      <c r="AB134" s="7">
        <f ca="1">[1]!b_calc_curve_chinabond("1082",AB$1,$B134)</f>
        <v>2.4256000000000002</v>
      </c>
      <c r="AC134" s="7">
        <f ca="1">[1]!b_calc_curve_chinabond("1082",AC$1,$B134)</f>
        <v>2.4035000000000002</v>
      </c>
      <c r="AD134" s="7">
        <f ca="1">[1]!b_calc_curve_chinabond("1082",AD$1,$B134)</f>
        <v>2.3999000000000001</v>
      </c>
      <c r="AE134" s="7">
        <f ca="1">[1]!b_calc_curve_chinabond("1082",AE$1,$B134)</f>
        <v>2.3932000000000002</v>
      </c>
      <c r="AF134" s="7">
        <f ca="1">[1]!b_calc_curve_chinabond("1082",AF$1,$B134)</f>
        <v>0</v>
      </c>
      <c r="AG134" s="7">
        <f ca="1">[1]!b_calc_curve_chinabond("1082",AG$1,$B134)</f>
        <v>0</v>
      </c>
      <c r="AH134" s="7">
        <f ca="1">[1]!b_calc_curve_chinabond("1082",AH$1,$B134)</f>
        <v>0</v>
      </c>
      <c r="AI134" s="7">
        <f ca="1">[1]!b_calc_curve_chinabond("1082",AI$1,$B134)</f>
        <v>0</v>
      </c>
    </row>
    <row r="135" spans="1:35" ht="19.5" customHeight="1">
      <c r="A135" s="3" t="s">
        <v>135</v>
      </c>
      <c r="B135" s="4">
        <v>12.7</v>
      </c>
      <c r="C135" s="7">
        <f ca="1">[1]!b_calc_curve_chinabond("1082",C$1,$B135)</f>
        <v>2.4618000000000002</v>
      </c>
      <c r="D135" s="7">
        <f ca="1">[1]!b_calc_curve_chinabond("1082",D$1,$B135)</f>
        <v>2.4643000000000002</v>
      </c>
      <c r="E135" s="7">
        <f ca="1">[1]!b_calc_curve_chinabond("1082",E$1,$B135)</f>
        <v>0</v>
      </c>
      <c r="F135" s="7">
        <f ca="1">[1]!b_calc_curve_chinabond("1082",F$1,$B135)</f>
        <v>0</v>
      </c>
      <c r="G135" s="7">
        <f ca="1">[1]!b_calc_curve_chinabond("1082",G$1,$B135)</f>
        <v>2.4613999999999998</v>
      </c>
      <c r="H135" s="7">
        <f ca="1">[1]!b_calc_curve_chinabond("1082",H$1,$B135)</f>
        <v>2.4466999999999999</v>
      </c>
      <c r="I135" s="7">
        <f ca="1">[1]!b_calc_curve_chinabond("1082",I$1,$B135)</f>
        <v>2.4390000000000001</v>
      </c>
      <c r="J135" s="7">
        <f ca="1">[1]!b_calc_curve_chinabond("1082",J$1,$B135)</f>
        <v>2.4285999999999999</v>
      </c>
      <c r="K135" s="7">
        <f ca="1">[1]!b_calc_curve_chinabond("1082",K$1,$B135)</f>
        <v>2.3997999999999999</v>
      </c>
      <c r="L135" s="7">
        <f ca="1">[1]!b_calc_curve_chinabond("1082",L$1,$B135)</f>
        <v>0</v>
      </c>
      <c r="M135" s="7">
        <f ca="1">[1]!b_calc_curve_chinabond("1082",M$1,$B135)</f>
        <v>0</v>
      </c>
      <c r="N135" s="7">
        <f ca="1">[1]!b_calc_curve_chinabond("1082",N$1,$B135)</f>
        <v>2.3904000000000001</v>
      </c>
      <c r="O135" s="7">
        <f ca="1">[1]!b_calc_curve_chinabond("1082",O$1,$B135)</f>
        <v>2.3889999999999998</v>
      </c>
      <c r="P135" s="7">
        <f ca="1">[1]!b_calc_curve_chinabond("1082",P$1,$B135)</f>
        <v>2.3732000000000002</v>
      </c>
      <c r="Q135" s="7">
        <f ca="1">[1]!b_calc_curve_chinabond("1082",Q$1,$B135)</f>
        <v>2.3620999999999999</v>
      </c>
      <c r="R135" s="7">
        <f ca="1">[1]!b_calc_curve_chinabond("1082",R$1,$B135)</f>
        <v>2.3714</v>
      </c>
      <c r="S135" s="7">
        <f ca="1">[1]!b_calc_curve_chinabond("1082",S$1,$B135)</f>
        <v>0</v>
      </c>
      <c r="T135" s="7">
        <f ca="1">[1]!b_calc_curve_chinabond("1082",T$1,$B135)</f>
        <v>0</v>
      </c>
      <c r="U135" s="7">
        <f ca="1">[1]!b_calc_curve_chinabond("1082",U$1,$B135)</f>
        <v>2.3818000000000001</v>
      </c>
      <c r="V135" s="7">
        <f ca="1">[1]!b_calc_curve_chinabond("1082",V$1,$B135)</f>
        <v>2.3935</v>
      </c>
      <c r="W135" s="7">
        <f ca="1">[1]!b_calc_curve_chinabond("1082",W$1,$B135)</f>
        <v>2.4056999999999999</v>
      </c>
      <c r="X135" s="7">
        <f ca="1">[1]!b_calc_curve_chinabond("1082",X$1,$B135)</f>
        <v>2.4481999999999999</v>
      </c>
      <c r="Y135" s="7">
        <f ca="1">[1]!b_calc_curve_chinabond("1082",Y$1,$B135)</f>
        <v>2.4339</v>
      </c>
      <c r="Z135" s="7">
        <f ca="1">[1]!b_calc_curve_chinabond("1082",Z$1,$B135)</f>
        <v>0</v>
      </c>
      <c r="AA135" s="7">
        <f ca="1">[1]!b_calc_curve_chinabond("1082",AA$1,$B135)</f>
        <v>0</v>
      </c>
      <c r="AB135" s="7">
        <f ca="1">[1]!b_calc_curve_chinabond("1082",AB$1,$B135)</f>
        <v>2.4310999999999998</v>
      </c>
      <c r="AC135" s="7">
        <f ca="1">[1]!b_calc_curve_chinabond("1082",AC$1,$B135)</f>
        <v>2.4095</v>
      </c>
      <c r="AD135" s="7">
        <f ca="1">[1]!b_calc_curve_chinabond("1082",AD$1,$B135)</f>
        <v>2.4053</v>
      </c>
      <c r="AE135" s="7">
        <f ca="1">[1]!b_calc_curve_chinabond("1082",AE$1,$B135)</f>
        <v>2.3982000000000001</v>
      </c>
      <c r="AF135" s="7">
        <f ca="1">[1]!b_calc_curve_chinabond("1082",AF$1,$B135)</f>
        <v>0</v>
      </c>
      <c r="AG135" s="7">
        <f ca="1">[1]!b_calc_curve_chinabond("1082",AG$1,$B135)</f>
        <v>0</v>
      </c>
      <c r="AH135" s="7">
        <f ca="1">[1]!b_calc_curve_chinabond("1082",AH$1,$B135)</f>
        <v>0</v>
      </c>
      <c r="AI135" s="7">
        <f ca="1">[1]!b_calc_curve_chinabond("1082",AI$1,$B135)</f>
        <v>0</v>
      </c>
    </row>
    <row r="136" spans="1:35" ht="19.5" customHeight="1">
      <c r="A136" s="1" t="s">
        <v>136</v>
      </c>
      <c r="B136" s="2">
        <v>12.8</v>
      </c>
      <c r="C136" s="7">
        <f ca="1">[1]!b_calc_curve_chinabond("1082",C$1,$B136)</f>
        <v>2.4676999999999998</v>
      </c>
      <c r="D136" s="7">
        <f ca="1">[1]!b_calc_curve_chinabond("1082",D$1,$B136)</f>
        <v>2.4701</v>
      </c>
      <c r="E136" s="7">
        <f ca="1">[1]!b_calc_curve_chinabond("1082",E$1,$B136)</f>
        <v>0</v>
      </c>
      <c r="F136" s="7">
        <f ca="1">[1]!b_calc_curve_chinabond("1082",F$1,$B136)</f>
        <v>0</v>
      </c>
      <c r="G136" s="7">
        <f ca="1">[1]!b_calc_curve_chinabond("1082",G$1,$B136)</f>
        <v>2.4668000000000001</v>
      </c>
      <c r="H136" s="7">
        <f ca="1">[1]!b_calc_curve_chinabond("1082",H$1,$B136)</f>
        <v>2.4529999999999998</v>
      </c>
      <c r="I136" s="7">
        <f ca="1">[1]!b_calc_curve_chinabond("1082",I$1,$B136)</f>
        <v>2.4451999999999998</v>
      </c>
      <c r="J136" s="7">
        <f ca="1">[1]!b_calc_curve_chinabond("1082",J$1,$B136)</f>
        <v>2.4348000000000001</v>
      </c>
      <c r="K136" s="7">
        <f ca="1">[1]!b_calc_curve_chinabond("1082",K$1,$B136)</f>
        <v>2.4062999999999999</v>
      </c>
      <c r="L136" s="7">
        <f ca="1">[1]!b_calc_curve_chinabond("1082",L$1,$B136)</f>
        <v>0</v>
      </c>
      <c r="M136" s="7">
        <f ca="1">[1]!b_calc_curve_chinabond("1082",M$1,$B136)</f>
        <v>0</v>
      </c>
      <c r="N136" s="7">
        <f ca="1">[1]!b_calc_curve_chinabond("1082",N$1,$B136)</f>
        <v>2.3967000000000001</v>
      </c>
      <c r="O136" s="7">
        <f ca="1">[1]!b_calc_curve_chinabond("1082",O$1,$B136)</f>
        <v>2.3944000000000001</v>
      </c>
      <c r="P136" s="7">
        <f ca="1">[1]!b_calc_curve_chinabond("1082",P$1,$B136)</f>
        <v>2.3792</v>
      </c>
      <c r="Q136" s="7">
        <f ca="1">[1]!b_calc_curve_chinabond("1082",Q$1,$B136)</f>
        <v>2.3685</v>
      </c>
      <c r="R136" s="7">
        <f ca="1">[1]!b_calc_curve_chinabond("1082",R$1,$B136)</f>
        <v>2.3771</v>
      </c>
      <c r="S136" s="7">
        <f ca="1">[1]!b_calc_curve_chinabond("1082",S$1,$B136)</f>
        <v>0</v>
      </c>
      <c r="T136" s="7">
        <f ca="1">[1]!b_calc_curve_chinabond("1082",T$1,$B136)</f>
        <v>0</v>
      </c>
      <c r="U136" s="7">
        <f ca="1">[1]!b_calc_curve_chinabond("1082",U$1,$B136)</f>
        <v>2.3875999999999999</v>
      </c>
      <c r="V136" s="7">
        <f ca="1">[1]!b_calc_curve_chinabond("1082",V$1,$B136)</f>
        <v>2.3988999999999998</v>
      </c>
      <c r="W136" s="7">
        <f ca="1">[1]!b_calc_curve_chinabond("1082",W$1,$B136)</f>
        <v>2.4110999999999998</v>
      </c>
      <c r="X136" s="7">
        <f ca="1">[1]!b_calc_curve_chinabond("1082",X$1,$B136)</f>
        <v>2.4527999999999999</v>
      </c>
      <c r="Y136" s="7">
        <f ca="1">[1]!b_calc_curve_chinabond("1082",Y$1,$B136)</f>
        <v>2.4396</v>
      </c>
      <c r="Z136" s="7">
        <f ca="1">[1]!b_calc_curve_chinabond("1082",Z$1,$B136)</f>
        <v>0</v>
      </c>
      <c r="AA136" s="7">
        <f ca="1">[1]!b_calc_curve_chinabond("1082",AA$1,$B136)</f>
        <v>0</v>
      </c>
      <c r="AB136" s="7">
        <f ca="1">[1]!b_calc_curve_chinabond("1082",AB$1,$B136)</f>
        <v>2.4365999999999999</v>
      </c>
      <c r="AC136" s="7">
        <f ca="1">[1]!b_calc_curve_chinabond("1082",AC$1,$B136)</f>
        <v>2.4155000000000002</v>
      </c>
      <c r="AD136" s="7">
        <f ca="1">[1]!b_calc_curve_chinabond("1082",AD$1,$B136)</f>
        <v>2.4106000000000001</v>
      </c>
      <c r="AE136" s="7">
        <f ca="1">[1]!b_calc_curve_chinabond("1082",AE$1,$B136)</f>
        <v>2.4032</v>
      </c>
      <c r="AF136" s="7">
        <f ca="1">[1]!b_calc_curve_chinabond("1082",AF$1,$B136)</f>
        <v>0</v>
      </c>
      <c r="AG136" s="7">
        <f ca="1">[1]!b_calc_curve_chinabond("1082",AG$1,$B136)</f>
        <v>0</v>
      </c>
      <c r="AH136" s="7">
        <f ca="1">[1]!b_calc_curve_chinabond("1082",AH$1,$B136)</f>
        <v>0</v>
      </c>
      <c r="AI136" s="7">
        <f ca="1">[1]!b_calc_curve_chinabond("1082",AI$1,$B136)</f>
        <v>0</v>
      </c>
    </row>
    <row r="137" spans="1:35" ht="19.5" customHeight="1">
      <c r="A137" s="3" t="s">
        <v>137</v>
      </c>
      <c r="B137" s="4">
        <v>12.9</v>
      </c>
      <c r="C137" s="7">
        <f ca="1">[1]!b_calc_curve_chinabond("1082",C$1,$B137)</f>
        <v>2.4735999999999998</v>
      </c>
      <c r="D137" s="7">
        <f ca="1">[1]!b_calc_curve_chinabond("1082",D$1,$B137)</f>
        <v>2.4759000000000002</v>
      </c>
      <c r="E137" s="7">
        <f ca="1">[1]!b_calc_curve_chinabond("1082",E$1,$B137)</f>
        <v>0</v>
      </c>
      <c r="F137" s="7">
        <f ca="1">[1]!b_calc_curve_chinabond("1082",F$1,$B137)</f>
        <v>0</v>
      </c>
      <c r="G137" s="7">
        <f ca="1">[1]!b_calc_curve_chinabond("1082",G$1,$B137)</f>
        <v>2.4723000000000002</v>
      </c>
      <c r="H137" s="7">
        <f ca="1">[1]!b_calc_curve_chinabond("1082",H$1,$B137)</f>
        <v>2.4592999999999998</v>
      </c>
      <c r="I137" s="7">
        <f ca="1">[1]!b_calc_curve_chinabond("1082",I$1,$B137)</f>
        <v>2.4514999999999998</v>
      </c>
      <c r="J137" s="7">
        <f ca="1">[1]!b_calc_curve_chinabond("1082",J$1,$B137)</f>
        <v>2.4411</v>
      </c>
      <c r="K137" s="7">
        <f ca="1">[1]!b_calc_curve_chinabond("1082",K$1,$B137)</f>
        <v>2.4129</v>
      </c>
      <c r="L137" s="7">
        <f ca="1">[1]!b_calc_curve_chinabond("1082",L$1,$B137)</f>
        <v>0</v>
      </c>
      <c r="M137" s="7">
        <f ca="1">[1]!b_calc_curve_chinabond("1082",M$1,$B137)</f>
        <v>0</v>
      </c>
      <c r="N137" s="7">
        <f ca="1">[1]!b_calc_curve_chinabond("1082",N$1,$B137)</f>
        <v>2.4030999999999998</v>
      </c>
      <c r="O137" s="7">
        <f ca="1">[1]!b_calc_curve_chinabond("1082",O$1,$B137)</f>
        <v>2.3997000000000002</v>
      </c>
      <c r="P137" s="7">
        <f ca="1">[1]!b_calc_curve_chinabond("1082",P$1,$B137)</f>
        <v>2.3853</v>
      </c>
      <c r="Q137" s="7">
        <f ca="1">[1]!b_calc_curve_chinabond("1082",Q$1,$B137)</f>
        <v>2.3748999999999998</v>
      </c>
      <c r="R137" s="7">
        <f ca="1">[1]!b_calc_curve_chinabond("1082",R$1,$B137)</f>
        <v>2.3828999999999998</v>
      </c>
      <c r="S137" s="7">
        <f ca="1">[1]!b_calc_curve_chinabond("1082",S$1,$B137)</f>
        <v>0</v>
      </c>
      <c r="T137" s="7">
        <f ca="1">[1]!b_calc_curve_chinabond("1082",T$1,$B137)</f>
        <v>0</v>
      </c>
      <c r="U137" s="7">
        <f ca="1">[1]!b_calc_curve_chinabond("1082",U$1,$B137)</f>
        <v>2.3933</v>
      </c>
      <c r="V137" s="7">
        <f ca="1">[1]!b_calc_curve_chinabond("1082",V$1,$B137)</f>
        <v>2.4043999999999999</v>
      </c>
      <c r="W137" s="7">
        <f ca="1">[1]!b_calc_curve_chinabond("1082",W$1,$B137)</f>
        <v>2.4165000000000001</v>
      </c>
      <c r="X137" s="7">
        <f ca="1">[1]!b_calc_curve_chinabond("1082",X$1,$B137)</f>
        <v>2.4573</v>
      </c>
      <c r="Y137" s="7">
        <f ca="1">[1]!b_calc_curve_chinabond("1082",Y$1,$B137)</f>
        <v>2.4451999999999998</v>
      </c>
      <c r="Z137" s="7">
        <f ca="1">[1]!b_calc_curve_chinabond("1082",Z$1,$B137)</f>
        <v>0</v>
      </c>
      <c r="AA137" s="7">
        <f ca="1">[1]!b_calc_curve_chinabond("1082",AA$1,$B137)</f>
        <v>0</v>
      </c>
      <c r="AB137" s="7">
        <f ca="1">[1]!b_calc_curve_chinabond("1082",AB$1,$B137)</f>
        <v>2.4420999999999999</v>
      </c>
      <c r="AC137" s="7">
        <f ca="1">[1]!b_calc_curve_chinabond("1082",AC$1,$B137)</f>
        <v>2.4216000000000002</v>
      </c>
      <c r="AD137" s="7">
        <f ca="1">[1]!b_calc_curve_chinabond("1082",AD$1,$B137)</f>
        <v>2.4159999999999999</v>
      </c>
      <c r="AE137" s="7">
        <f ca="1">[1]!b_calc_curve_chinabond("1082",AE$1,$B137)</f>
        <v>2.4083000000000001</v>
      </c>
      <c r="AF137" s="7">
        <f ca="1">[1]!b_calc_curve_chinabond("1082",AF$1,$B137)</f>
        <v>0</v>
      </c>
      <c r="AG137" s="7">
        <f ca="1">[1]!b_calc_curve_chinabond("1082",AG$1,$B137)</f>
        <v>0</v>
      </c>
      <c r="AH137" s="7">
        <f ca="1">[1]!b_calc_curve_chinabond("1082",AH$1,$B137)</f>
        <v>0</v>
      </c>
      <c r="AI137" s="7">
        <f ca="1">[1]!b_calc_curve_chinabond("1082",AI$1,$B137)</f>
        <v>0</v>
      </c>
    </row>
    <row r="138" spans="1:35" ht="19.5" customHeight="1">
      <c r="A138" s="1" t="s">
        <v>138</v>
      </c>
      <c r="B138" s="2">
        <v>13</v>
      </c>
      <c r="C138" s="7">
        <f ca="1">[1]!b_calc_curve_chinabond("1082",C$1,$B138)</f>
        <v>2.4796</v>
      </c>
      <c r="D138" s="7">
        <f ca="1">[1]!b_calc_curve_chinabond("1082",D$1,$B138)</f>
        <v>2.4817</v>
      </c>
      <c r="E138" s="7">
        <f ca="1">[1]!b_calc_curve_chinabond("1082",E$1,$B138)</f>
        <v>0</v>
      </c>
      <c r="F138" s="7">
        <f ca="1">[1]!b_calc_curve_chinabond("1082",F$1,$B138)</f>
        <v>0</v>
      </c>
      <c r="G138" s="7">
        <f ca="1">[1]!b_calc_curve_chinabond("1082",G$1,$B138)</f>
        <v>2.4777999999999998</v>
      </c>
      <c r="H138" s="7">
        <f ca="1">[1]!b_calc_curve_chinabond("1082",H$1,$B138)</f>
        <v>2.4657</v>
      </c>
      <c r="I138" s="7">
        <f ca="1">[1]!b_calc_curve_chinabond("1082",I$1,$B138)</f>
        <v>2.4577</v>
      </c>
      <c r="J138" s="7">
        <f ca="1">[1]!b_calc_curve_chinabond("1082",J$1,$B138)</f>
        <v>2.4474</v>
      </c>
      <c r="K138" s="7">
        <f ca="1">[1]!b_calc_curve_chinabond("1082",K$1,$B138)</f>
        <v>2.4195000000000002</v>
      </c>
      <c r="L138" s="7">
        <f ca="1">[1]!b_calc_curve_chinabond("1082",L$1,$B138)</f>
        <v>0</v>
      </c>
      <c r="M138" s="7">
        <f ca="1">[1]!b_calc_curve_chinabond("1082",M$1,$B138)</f>
        <v>0</v>
      </c>
      <c r="N138" s="7">
        <f ca="1">[1]!b_calc_curve_chinabond("1082",N$1,$B138)</f>
        <v>2.4096000000000002</v>
      </c>
      <c r="O138" s="7">
        <f ca="1">[1]!b_calc_curve_chinabond("1082",O$1,$B138)</f>
        <v>2.4051</v>
      </c>
      <c r="P138" s="7">
        <f ca="1">[1]!b_calc_curve_chinabond("1082",P$1,$B138)</f>
        <v>2.3914</v>
      </c>
      <c r="Q138" s="7">
        <f ca="1">[1]!b_calc_curve_chinabond("1082",Q$1,$B138)</f>
        <v>2.3814000000000002</v>
      </c>
      <c r="R138" s="7">
        <f ca="1">[1]!b_calc_curve_chinabond("1082",R$1,$B138)</f>
        <v>2.3885999999999998</v>
      </c>
      <c r="S138" s="7">
        <f ca="1">[1]!b_calc_curve_chinabond("1082",S$1,$B138)</f>
        <v>0</v>
      </c>
      <c r="T138" s="7">
        <f ca="1">[1]!b_calc_curve_chinabond("1082",T$1,$B138)</f>
        <v>0</v>
      </c>
      <c r="U138" s="7">
        <f ca="1">[1]!b_calc_curve_chinabond("1082",U$1,$B138)</f>
        <v>2.3990999999999998</v>
      </c>
      <c r="V138" s="7">
        <f ca="1">[1]!b_calc_curve_chinabond("1082",V$1,$B138)</f>
        <v>2.4098000000000002</v>
      </c>
      <c r="W138" s="7">
        <f ca="1">[1]!b_calc_curve_chinabond("1082",W$1,$B138)</f>
        <v>2.4220000000000002</v>
      </c>
      <c r="X138" s="7">
        <f ca="1">[1]!b_calc_curve_chinabond("1082",X$1,$B138)</f>
        <v>2.4619</v>
      </c>
      <c r="Y138" s="7">
        <f ca="1">[1]!b_calc_curve_chinabond("1082",Y$1,$B138)</f>
        <v>2.4510000000000001</v>
      </c>
      <c r="Z138" s="7">
        <f ca="1">[1]!b_calc_curve_chinabond("1082",Z$1,$B138)</f>
        <v>0</v>
      </c>
      <c r="AA138" s="7">
        <f ca="1">[1]!b_calc_curve_chinabond("1082",AA$1,$B138)</f>
        <v>0</v>
      </c>
      <c r="AB138" s="7">
        <f ca="1">[1]!b_calc_curve_chinabond("1082",AB$1,$B138)</f>
        <v>2.4476</v>
      </c>
      <c r="AC138" s="7">
        <f ca="1">[1]!b_calc_curve_chinabond("1082",AC$1,$B138)</f>
        <v>2.4277000000000002</v>
      </c>
      <c r="AD138" s="7">
        <f ca="1">[1]!b_calc_curve_chinabond("1082",AD$1,$B138)</f>
        <v>2.4215</v>
      </c>
      <c r="AE138" s="7">
        <f ca="1">[1]!b_calc_curve_chinabond("1082",AE$1,$B138)</f>
        <v>2.4133</v>
      </c>
      <c r="AF138" s="7">
        <f ca="1">[1]!b_calc_curve_chinabond("1082",AF$1,$B138)</f>
        <v>0</v>
      </c>
      <c r="AG138" s="7">
        <f ca="1">[1]!b_calc_curve_chinabond("1082",AG$1,$B138)</f>
        <v>0</v>
      </c>
      <c r="AH138" s="7">
        <f ca="1">[1]!b_calc_curve_chinabond("1082",AH$1,$B138)</f>
        <v>0</v>
      </c>
      <c r="AI138" s="7">
        <f ca="1">[1]!b_calc_curve_chinabond("1082",AI$1,$B138)</f>
        <v>0</v>
      </c>
    </row>
    <row r="139" spans="1:35" ht="19.5" customHeight="1">
      <c r="A139" s="3" t="s">
        <v>139</v>
      </c>
      <c r="B139" s="4">
        <v>13.1</v>
      </c>
      <c r="C139" s="7">
        <f ca="1">[1]!b_calc_curve_chinabond("1082",C$1,$B139)</f>
        <v>2.4855</v>
      </c>
      <c r="D139" s="7">
        <f ca="1">[1]!b_calc_curve_chinabond("1082",D$1,$B139)</f>
        <v>2.4874999999999998</v>
      </c>
      <c r="E139" s="7">
        <f ca="1">[1]!b_calc_curve_chinabond("1082",E$1,$B139)</f>
        <v>0</v>
      </c>
      <c r="F139" s="7">
        <f ca="1">[1]!b_calc_curve_chinabond("1082",F$1,$B139)</f>
        <v>0</v>
      </c>
      <c r="G139" s="7">
        <f ca="1">[1]!b_calc_curve_chinabond("1082",G$1,$B139)</f>
        <v>2.4832999999999998</v>
      </c>
      <c r="H139" s="7">
        <f ca="1">[1]!b_calc_curve_chinabond("1082",H$1,$B139)</f>
        <v>2.472</v>
      </c>
      <c r="I139" s="7">
        <f ca="1">[1]!b_calc_curve_chinabond("1082",I$1,$B139)</f>
        <v>2.464</v>
      </c>
      <c r="J139" s="7">
        <f ca="1">[1]!b_calc_curve_chinabond("1082",J$1,$B139)</f>
        <v>2.4537</v>
      </c>
      <c r="K139" s="7">
        <f ca="1">[1]!b_calc_curve_chinabond("1082",K$1,$B139)</f>
        <v>2.4262000000000001</v>
      </c>
      <c r="L139" s="7">
        <f ca="1">[1]!b_calc_curve_chinabond("1082",L$1,$B139)</f>
        <v>0</v>
      </c>
      <c r="M139" s="7">
        <f ca="1">[1]!b_calc_curve_chinabond("1082",M$1,$B139)</f>
        <v>0</v>
      </c>
      <c r="N139" s="7">
        <f ca="1">[1]!b_calc_curve_chinabond("1082",N$1,$B139)</f>
        <v>2.4161000000000001</v>
      </c>
      <c r="O139" s="7">
        <f ca="1">[1]!b_calc_curve_chinabond("1082",O$1,$B139)</f>
        <v>2.4104999999999999</v>
      </c>
      <c r="P139" s="7">
        <f ca="1">[1]!b_calc_curve_chinabond("1082",P$1,$B139)</f>
        <v>2.3975</v>
      </c>
      <c r="Q139" s="7">
        <f ca="1">[1]!b_calc_curve_chinabond("1082",Q$1,$B139)</f>
        <v>2.3879000000000001</v>
      </c>
      <c r="R139" s="7">
        <f ca="1">[1]!b_calc_curve_chinabond("1082",R$1,$B139)</f>
        <v>2.3944000000000001</v>
      </c>
      <c r="S139" s="7">
        <f ca="1">[1]!b_calc_curve_chinabond("1082",S$1,$B139)</f>
        <v>0</v>
      </c>
      <c r="T139" s="7">
        <f ca="1">[1]!b_calc_curve_chinabond("1082",T$1,$B139)</f>
        <v>0</v>
      </c>
      <c r="U139" s="7">
        <f ca="1">[1]!b_calc_curve_chinabond("1082",U$1,$B139)</f>
        <v>2.4049</v>
      </c>
      <c r="V139" s="7">
        <f ca="1">[1]!b_calc_curve_chinabond("1082",V$1,$B139)</f>
        <v>2.4152999999999998</v>
      </c>
      <c r="W139" s="7">
        <f ca="1">[1]!b_calc_curve_chinabond("1082",W$1,$B139)</f>
        <v>2.4274</v>
      </c>
      <c r="X139" s="7">
        <f ca="1">[1]!b_calc_curve_chinabond("1082",X$1,$B139)</f>
        <v>2.4664000000000001</v>
      </c>
      <c r="Y139" s="7">
        <f ca="1">[1]!b_calc_curve_chinabond("1082",Y$1,$B139)</f>
        <v>2.4567000000000001</v>
      </c>
      <c r="Z139" s="7">
        <f ca="1">[1]!b_calc_curve_chinabond("1082",Z$1,$B139)</f>
        <v>0</v>
      </c>
      <c r="AA139" s="7">
        <f ca="1">[1]!b_calc_curve_chinabond("1082",AA$1,$B139)</f>
        <v>0</v>
      </c>
      <c r="AB139" s="7">
        <f ca="1">[1]!b_calc_curve_chinabond("1082",AB$1,$B139)</f>
        <v>2.4531999999999998</v>
      </c>
      <c r="AC139" s="7">
        <f ca="1">[1]!b_calc_curve_chinabond("1082",AC$1,$B139)</f>
        <v>2.4338000000000002</v>
      </c>
      <c r="AD139" s="7">
        <f ca="1">[1]!b_calc_curve_chinabond("1082",AD$1,$B139)</f>
        <v>2.4268999999999998</v>
      </c>
      <c r="AE139" s="7">
        <f ca="1">[1]!b_calc_curve_chinabond("1082",AE$1,$B139)</f>
        <v>2.4184000000000001</v>
      </c>
      <c r="AF139" s="7">
        <f ca="1">[1]!b_calc_curve_chinabond("1082",AF$1,$B139)</f>
        <v>0</v>
      </c>
      <c r="AG139" s="7">
        <f ca="1">[1]!b_calc_curve_chinabond("1082",AG$1,$B139)</f>
        <v>0</v>
      </c>
      <c r="AH139" s="7">
        <f ca="1">[1]!b_calc_curve_chinabond("1082",AH$1,$B139)</f>
        <v>0</v>
      </c>
      <c r="AI139" s="7">
        <f ca="1">[1]!b_calc_curve_chinabond("1082",AI$1,$B139)</f>
        <v>0</v>
      </c>
    </row>
    <row r="140" spans="1:35" ht="19.5" customHeight="1">
      <c r="A140" s="1" t="s">
        <v>140</v>
      </c>
      <c r="B140" s="2">
        <v>13.2</v>
      </c>
      <c r="C140" s="7">
        <f ca="1">[1]!b_calc_curve_chinabond("1082",C$1,$B140)</f>
        <v>2.4914999999999998</v>
      </c>
      <c r="D140" s="7">
        <f ca="1">[1]!b_calc_curve_chinabond("1082",D$1,$B140)</f>
        <v>2.4933000000000001</v>
      </c>
      <c r="E140" s="7">
        <f ca="1">[1]!b_calc_curve_chinabond("1082",E$1,$B140)</f>
        <v>0</v>
      </c>
      <c r="F140" s="7">
        <f ca="1">[1]!b_calc_curve_chinabond("1082",F$1,$B140)</f>
        <v>0</v>
      </c>
      <c r="G140" s="7">
        <f ca="1">[1]!b_calc_curve_chinabond("1082",G$1,$B140)</f>
        <v>2.4887999999999999</v>
      </c>
      <c r="H140" s="7">
        <f ca="1">[1]!b_calc_curve_chinabond("1082",H$1,$B140)</f>
        <v>2.4784000000000002</v>
      </c>
      <c r="I140" s="7">
        <f ca="1">[1]!b_calc_curve_chinabond("1082",I$1,$B140)</f>
        <v>2.4702999999999999</v>
      </c>
      <c r="J140" s="7">
        <f ca="1">[1]!b_calc_curve_chinabond("1082",J$1,$B140)</f>
        <v>2.4601000000000002</v>
      </c>
      <c r="K140" s="7">
        <f ca="1">[1]!b_calc_curve_chinabond("1082",K$1,$B140)</f>
        <v>2.4329000000000001</v>
      </c>
      <c r="L140" s="7">
        <f ca="1">[1]!b_calc_curve_chinabond("1082",L$1,$B140)</f>
        <v>0</v>
      </c>
      <c r="M140" s="7">
        <f ca="1">[1]!b_calc_curve_chinabond("1082",M$1,$B140)</f>
        <v>0</v>
      </c>
      <c r="N140" s="7">
        <f ca="1">[1]!b_calc_curve_chinabond("1082",N$1,$B140)</f>
        <v>2.4224999999999999</v>
      </c>
      <c r="O140" s="7">
        <f ca="1">[1]!b_calc_curve_chinabond("1082",O$1,$B140)</f>
        <v>2.4157999999999999</v>
      </c>
      <c r="P140" s="7">
        <f ca="1">[1]!b_calc_curve_chinabond("1082",P$1,$B140)</f>
        <v>2.4036</v>
      </c>
      <c r="Q140" s="7">
        <f ca="1">[1]!b_calc_curve_chinabond("1082",Q$1,$B140)</f>
        <v>2.3944000000000001</v>
      </c>
      <c r="R140" s="7">
        <f ca="1">[1]!b_calc_curve_chinabond("1082",R$1,$B140)</f>
        <v>2.4001999999999999</v>
      </c>
      <c r="S140" s="7">
        <f ca="1">[1]!b_calc_curve_chinabond("1082",S$1,$B140)</f>
        <v>0</v>
      </c>
      <c r="T140" s="7">
        <f ca="1">[1]!b_calc_curve_chinabond("1082",T$1,$B140)</f>
        <v>0</v>
      </c>
      <c r="U140" s="7">
        <f ca="1">[1]!b_calc_curve_chinabond("1082",U$1,$B140)</f>
        <v>2.4106999999999998</v>
      </c>
      <c r="V140" s="7">
        <f ca="1">[1]!b_calc_curve_chinabond("1082",V$1,$B140)</f>
        <v>2.4207999999999998</v>
      </c>
      <c r="W140" s="7">
        <f ca="1">[1]!b_calc_curve_chinabond("1082",W$1,$B140)</f>
        <v>2.4329000000000001</v>
      </c>
      <c r="X140" s="7">
        <f ca="1">[1]!b_calc_curve_chinabond("1082",X$1,$B140)</f>
        <v>2.4710000000000001</v>
      </c>
      <c r="Y140" s="7">
        <f ca="1">[1]!b_calc_curve_chinabond("1082",Y$1,$B140)</f>
        <v>2.4624000000000001</v>
      </c>
      <c r="Z140" s="7">
        <f ca="1">[1]!b_calc_curve_chinabond("1082",Z$1,$B140)</f>
        <v>0</v>
      </c>
      <c r="AA140" s="7">
        <f ca="1">[1]!b_calc_curve_chinabond("1082",AA$1,$B140)</f>
        <v>0</v>
      </c>
      <c r="AB140" s="7">
        <f ca="1">[1]!b_calc_curve_chinabond("1082",AB$1,$B140)</f>
        <v>2.4588000000000001</v>
      </c>
      <c r="AC140" s="7">
        <f ca="1">[1]!b_calc_curve_chinabond("1082",AC$1,$B140)</f>
        <v>2.44</v>
      </c>
      <c r="AD140" s="7">
        <f ca="1">[1]!b_calc_curve_chinabond("1082",AD$1,$B140)</f>
        <v>2.4323000000000001</v>
      </c>
      <c r="AE140" s="7">
        <f ca="1">[1]!b_calc_curve_chinabond("1082",AE$1,$B140)</f>
        <v>2.4235000000000002</v>
      </c>
      <c r="AF140" s="7">
        <f ca="1">[1]!b_calc_curve_chinabond("1082",AF$1,$B140)</f>
        <v>0</v>
      </c>
      <c r="AG140" s="7">
        <f ca="1">[1]!b_calc_curve_chinabond("1082",AG$1,$B140)</f>
        <v>0</v>
      </c>
      <c r="AH140" s="7">
        <f ca="1">[1]!b_calc_curve_chinabond("1082",AH$1,$B140)</f>
        <v>0</v>
      </c>
      <c r="AI140" s="7">
        <f ca="1">[1]!b_calc_curve_chinabond("1082",AI$1,$B140)</f>
        <v>0</v>
      </c>
    </row>
    <row r="141" spans="1:35" ht="19.5" customHeight="1">
      <c r="A141" s="3" t="s">
        <v>141</v>
      </c>
      <c r="B141" s="4">
        <v>13.3</v>
      </c>
      <c r="C141" s="7">
        <f ca="1">[1]!b_calc_curve_chinabond("1082",C$1,$B141)</f>
        <v>2.4973999999999998</v>
      </c>
      <c r="D141" s="7">
        <f ca="1">[1]!b_calc_curve_chinabond("1082",D$1,$B141)</f>
        <v>2.4990999999999999</v>
      </c>
      <c r="E141" s="7">
        <f ca="1">[1]!b_calc_curve_chinabond("1082",E$1,$B141)</f>
        <v>0</v>
      </c>
      <c r="F141" s="7">
        <f ca="1">[1]!b_calc_curve_chinabond("1082",F$1,$B141)</f>
        <v>0</v>
      </c>
      <c r="G141" s="7">
        <f ca="1">[1]!b_calc_curve_chinabond("1082",G$1,$B141)</f>
        <v>2.4943</v>
      </c>
      <c r="H141" s="7">
        <f ca="1">[1]!b_calc_curve_chinabond("1082",H$1,$B141)</f>
        <v>2.4847999999999999</v>
      </c>
      <c r="I141" s="7">
        <f ca="1">[1]!b_calc_curve_chinabond("1082",I$1,$B141)</f>
        <v>2.4765999999999999</v>
      </c>
      <c r="J141" s="7">
        <f ca="1">[1]!b_calc_curve_chinabond("1082",J$1,$B141)</f>
        <v>2.4664000000000001</v>
      </c>
      <c r="K141" s="7">
        <f ca="1">[1]!b_calc_curve_chinabond("1082",K$1,$B141)</f>
        <v>2.4396</v>
      </c>
      <c r="L141" s="7">
        <f ca="1">[1]!b_calc_curve_chinabond("1082",L$1,$B141)</f>
        <v>0</v>
      </c>
      <c r="M141" s="7">
        <f ca="1">[1]!b_calc_curve_chinabond("1082",M$1,$B141)</f>
        <v>0</v>
      </c>
      <c r="N141" s="7">
        <f ca="1">[1]!b_calc_curve_chinabond("1082",N$1,$B141)</f>
        <v>2.4289999999999998</v>
      </c>
      <c r="O141" s="7">
        <f ca="1">[1]!b_calc_curve_chinabond("1082",O$1,$B141)</f>
        <v>2.4211999999999998</v>
      </c>
      <c r="P141" s="7">
        <f ca="1">[1]!b_calc_curve_chinabond("1082",P$1,$B141)</f>
        <v>2.4097</v>
      </c>
      <c r="Q141" s="7">
        <f ca="1">[1]!b_calc_curve_chinabond("1082",Q$1,$B141)</f>
        <v>2.4009999999999998</v>
      </c>
      <c r="R141" s="7">
        <f ca="1">[1]!b_calc_curve_chinabond("1082",R$1,$B141)</f>
        <v>2.4060000000000001</v>
      </c>
      <c r="S141" s="7">
        <f ca="1">[1]!b_calc_curve_chinabond("1082",S$1,$B141)</f>
        <v>0</v>
      </c>
      <c r="T141" s="7">
        <f ca="1">[1]!b_calc_curve_chinabond("1082",T$1,$B141)</f>
        <v>0</v>
      </c>
      <c r="U141" s="7">
        <f ca="1">[1]!b_calc_curve_chinabond("1082",U$1,$B141)</f>
        <v>2.4165000000000001</v>
      </c>
      <c r="V141" s="7">
        <f ca="1">[1]!b_calc_curve_chinabond("1082",V$1,$B141)</f>
        <v>2.4262999999999999</v>
      </c>
      <c r="W141" s="7">
        <f ca="1">[1]!b_calc_curve_chinabond("1082",W$1,$B141)</f>
        <v>2.4384000000000001</v>
      </c>
      <c r="X141" s="7">
        <f ca="1">[1]!b_calc_curve_chinabond("1082",X$1,$B141)</f>
        <v>2.4754999999999998</v>
      </c>
      <c r="Y141" s="7">
        <f ca="1">[1]!b_calc_curve_chinabond("1082",Y$1,$B141)</f>
        <v>2.4681999999999999</v>
      </c>
      <c r="Z141" s="7">
        <f ca="1">[1]!b_calc_curve_chinabond("1082",Z$1,$B141)</f>
        <v>0</v>
      </c>
      <c r="AA141" s="7">
        <f ca="1">[1]!b_calc_curve_chinabond("1082",AA$1,$B141)</f>
        <v>0</v>
      </c>
      <c r="AB141" s="7">
        <f ca="1">[1]!b_calc_curve_chinabond("1082",AB$1,$B141)</f>
        <v>2.4643999999999999</v>
      </c>
      <c r="AC141" s="7">
        <f ca="1">[1]!b_calc_curve_chinabond("1082",AC$1,$B141)</f>
        <v>2.4462000000000002</v>
      </c>
      <c r="AD141" s="7">
        <f ca="1">[1]!b_calc_curve_chinabond("1082",AD$1,$B141)</f>
        <v>2.4378000000000002</v>
      </c>
      <c r="AE141" s="7">
        <f ca="1">[1]!b_calc_curve_chinabond("1082",AE$1,$B141)</f>
        <v>2.4285999999999999</v>
      </c>
      <c r="AF141" s="7">
        <f ca="1">[1]!b_calc_curve_chinabond("1082",AF$1,$B141)</f>
        <v>0</v>
      </c>
      <c r="AG141" s="7">
        <f ca="1">[1]!b_calc_curve_chinabond("1082",AG$1,$B141)</f>
        <v>0</v>
      </c>
      <c r="AH141" s="7">
        <f ca="1">[1]!b_calc_curve_chinabond("1082",AH$1,$B141)</f>
        <v>0</v>
      </c>
      <c r="AI141" s="7">
        <f ca="1">[1]!b_calc_curve_chinabond("1082",AI$1,$B141)</f>
        <v>0</v>
      </c>
    </row>
    <row r="142" spans="1:35" ht="19.5" customHeight="1">
      <c r="A142" s="1" t="s">
        <v>142</v>
      </c>
      <c r="B142" s="2">
        <v>13.4</v>
      </c>
      <c r="C142" s="7">
        <f ca="1">[1]!b_calc_curve_chinabond("1082",C$1,$B142)</f>
        <v>2.5034000000000001</v>
      </c>
      <c r="D142" s="7">
        <f ca="1">[1]!b_calc_curve_chinabond("1082",D$1,$B142)</f>
        <v>2.5049000000000001</v>
      </c>
      <c r="E142" s="7">
        <f ca="1">[1]!b_calc_curve_chinabond("1082",E$1,$B142)</f>
        <v>0</v>
      </c>
      <c r="F142" s="7">
        <f ca="1">[1]!b_calc_curve_chinabond("1082",F$1,$B142)</f>
        <v>0</v>
      </c>
      <c r="G142" s="7">
        <f ca="1">[1]!b_calc_curve_chinabond("1082",G$1,$B142)</f>
        <v>2.4998</v>
      </c>
      <c r="H142" s="7">
        <f ca="1">[1]!b_calc_curve_chinabond("1082",H$1,$B142)</f>
        <v>2.4910999999999999</v>
      </c>
      <c r="I142" s="7">
        <f ca="1">[1]!b_calc_curve_chinabond("1082",I$1,$B142)</f>
        <v>2.4828999999999999</v>
      </c>
      <c r="J142" s="7">
        <f ca="1">[1]!b_calc_curve_chinabond("1082",J$1,$B142)</f>
        <v>2.4727000000000001</v>
      </c>
      <c r="K142" s="7">
        <f ca="1">[1]!b_calc_curve_chinabond("1082",K$1,$B142)</f>
        <v>2.4462999999999999</v>
      </c>
      <c r="L142" s="7">
        <f ca="1">[1]!b_calc_curve_chinabond("1082",L$1,$B142)</f>
        <v>0</v>
      </c>
      <c r="M142" s="7">
        <f ca="1">[1]!b_calc_curve_chinabond("1082",M$1,$B142)</f>
        <v>0</v>
      </c>
      <c r="N142" s="7">
        <f ca="1">[1]!b_calc_curve_chinabond("1082",N$1,$B142)</f>
        <v>2.4355000000000002</v>
      </c>
      <c r="O142" s="7">
        <f ca="1">[1]!b_calc_curve_chinabond("1082",O$1,$B142)</f>
        <v>2.4266000000000001</v>
      </c>
      <c r="P142" s="7">
        <f ca="1">[1]!b_calc_curve_chinabond("1082",P$1,$B142)</f>
        <v>2.4159000000000002</v>
      </c>
      <c r="Q142" s="7">
        <f ca="1">[1]!b_calc_curve_chinabond("1082",Q$1,$B142)</f>
        <v>2.4075000000000002</v>
      </c>
      <c r="R142" s="7">
        <f ca="1">[1]!b_calc_curve_chinabond("1082",R$1,$B142)</f>
        <v>2.4117999999999999</v>
      </c>
      <c r="S142" s="7">
        <f ca="1">[1]!b_calc_curve_chinabond("1082",S$1,$B142)</f>
        <v>0</v>
      </c>
      <c r="T142" s="7">
        <f ca="1">[1]!b_calc_curve_chinabond("1082",T$1,$B142)</f>
        <v>0</v>
      </c>
      <c r="U142" s="7">
        <f ca="1">[1]!b_calc_curve_chinabond("1082",U$1,$B142)</f>
        <v>2.4222999999999999</v>
      </c>
      <c r="V142" s="7">
        <f ca="1">[1]!b_calc_curve_chinabond("1082",V$1,$B142)</f>
        <v>2.4318</v>
      </c>
      <c r="W142" s="7">
        <f ca="1">[1]!b_calc_curve_chinabond("1082",W$1,$B142)</f>
        <v>2.4438</v>
      </c>
      <c r="X142" s="7">
        <f ca="1">[1]!b_calc_curve_chinabond("1082",X$1,$B142)</f>
        <v>2.4801000000000002</v>
      </c>
      <c r="Y142" s="7">
        <f ca="1">[1]!b_calc_curve_chinabond("1082",Y$1,$B142)</f>
        <v>2.4739</v>
      </c>
      <c r="Z142" s="7">
        <f ca="1">[1]!b_calc_curve_chinabond("1082",Z$1,$B142)</f>
        <v>0</v>
      </c>
      <c r="AA142" s="7">
        <f ca="1">[1]!b_calc_curve_chinabond("1082",AA$1,$B142)</f>
        <v>0</v>
      </c>
      <c r="AB142" s="7">
        <f ca="1">[1]!b_calc_curve_chinabond("1082",AB$1,$B142)</f>
        <v>2.4699</v>
      </c>
      <c r="AC142" s="7">
        <f ca="1">[1]!b_calc_curve_chinabond("1082",AC$1,$B142)</f>
        <v>2.4523999999999999</v>
      </c>
      <c r="AD142" s="7">
        <f ca="1">[1]!b_calc_curve_chinabond("1082",AD$1,$B142)</f>
        <v>2.4432</v>
      </c>
      <c r="AE142" s="7">
        <f ca="1">[1]!b_calc_curve_chinabond("1082",AE$1,$B142)</f>
        <v>2.4336000000000002</v>
      </c>
      <c r="AF142" s="7">
        <f ca="1">[1]!b_calc_curve_chinabond("1082",AF$1,$B142)</f>
        <v>0</v>
      </c>
      <c r="AG142" s="7">
        <f ca="1">[1]!b_calc_curve_chinabond("1082",AG$1,$B142)</f>
        <v>0</v>
      </c>
      <c r="AH142" s="7">
        <f ca="1">[1]!b_calc_curve_chinabond("1082",AH$1,$B142)</f>
        <v>0</v>
      </c>
      <c r="AI142" s="7">
        <f ca="1">[1]!b_calc_curve_chinabond("1082",AI$1,$B142)</f>
        <v>0</v>
      </c>
    </row>
    <row r="143" spans="1:35" ht="19.5" customHeight="1">
      <c r="A143" s="3" t="s">
        <v>143</v>
      </c>
      <c r="B143" s="4">
        <v>13.5</v>
      </c>
      <c r="C143" s="7">
        <f ca="1">[1]!b_calc_curve_chinabond("1082",C$1,$B143)</f>
        <v>2.5093000000000001</v>
      </c>
      <c r="D143" s="7">
        <f ca="1">[1]!b_calc_curve_chinabond("1082",D$1,$B143)</f>
        <v>2.5108000000000001</v>
      </c>
      <c r="E143" s="7">
        <f ca="1">[1]!b_calc_curve_chinabond("1082",E$1,$B143)</f>
        <v>0</v>
      </c>
      <c r="F143" s="7">
        <f ca="1">[1]!b_calc_curve_chinabond("1082",F$1,$B143)</f>
        <v>0</v>
      </c>
      <c r="G143" s="7">
        <f ca="1">[1]!b_calc_curve_chinabond("1082",G$1,$B143)</f>
        <v>2.5053000000000001</v>
      </c>
      <c r="H143" s="7">
        <f ca="1">[1]!b_calc_curve_chinabond("1082",H$1,$B143)</f>
        <v>2.4975000000000001</v>
      </c>
      <c r="I143" s="7">
        <f ca="1">[1]!b_calc_curve_chinabond("1082",I$1,$B143)</f>
        <v>2.4891999999999999</v>
      </c>
      <c r="J143" s="7">
        <f ca="1">[1]!b_calc_curve_chinabond("1082",J$1,$B143)</f>
        <v>2.4790999999999999</v>
      </c>
      <c r="K143" s="7">
        <f ca="1">[1]!b_calc_curve_chinabond("1082",K$1,$B143)</f>
        <v>2.4529999999999998</v>
      </c>
      <c r="L143" s="7">
        <f ca="1">[1]!b_calc_curve_chinabond("1082",L$1,$B143)</f>
        <v>0</v>
      </c>
      <c r="M143" s="7">
        <f ca="1">[1]!b_calc_curve_chinabond("1082",M$1,$B143)</f>
        <v>0</v>
      </c>
      <c r="N143" s="7">
        <f ca="1">[1]!b_calc_curve_chinabond("1082",N$1,$B143)</f>
        <v>2.4420000000000002</v>
      </c>
      <c r="O143" s="7">
        <f ca="1">[1]!b_calc_curve_chinabond("1082",O$1,$B143)</f>
        <v>2.4319999999999999</v>
      </c>
      <c r="P143" s="7">
        <f ca="1">[1]!b_calc_curve_chinabond("1082",P$1,$B143)</f>
        <v>2.4220000000000002</v>
      </c>
      <c r="Q143" s="7">
        <f ca="1">[1]!b_calc_curve_chinabond("1082",Q$1,$B143)</f>
        <v>2.4140999999999999</v>
      </c>
      <c r="R143" s="7">
        <f ca="1">[1]!b_calc_curve_chinabond("1082",R$1,$B143)</f>
        <v>2.4176000000000002</v>
      </c>
      <c r="S143" s="7">
        <f ca="1">[1]!b_calc_curve_chinabond("1082",S$1,$B143)</f>
        <v>0</v>
      </c>
      <c r="T143" s="7">
        <f ca="1">[1]!b_calc_curve_chinabond("1082",T$1,$B143)</f>
        <v>0</v>
      </c>
      <c r="U143" s="7">
        <f ca="1">[1]!b_calc_curve_chinabond("1082",U$1,$B143)</f>
        <v>2.4281000000000001</v>
      </c>
      <c r="V143" s="7">
        <f ca="1">[1]!b_calc_curve_chinabond("1082",V$1,$B143)</f>
        <v>2.4373</v>
      </c>
      <c r="W143" s="7">
        <f ca="1">[1]!b_calc_curve_chinabond("1082",W$1,$B143)</f>
        <v>2.4493</v>
      </c>
      <c r="X143" s="7">
        <f ca="1">[1]!b_calc_curve_chinabond("1082",X$1,$B143)</f>
        <v>2.4845999999999999</v>
      </c>
      <c r="Y143" s="7">
        <f ca="1">[1]!b_calc_curve_chinabond("1082",Y$1,$B143)</f>
        <v>2.4796999999999998</v>
      </c>
      <c r="Z143" s="7">
        <f ca="1">[1]!b_calc_curve_chinabond("1082",Z$1,$B143)</f>
        <v>0</v>
      </c>
      <c r="AA143" s="7">
        <f ca="1">[1]!b_calc_curve_chinabond("1082",AA$1,$B143)</f>
        <v>0</v>
      </c>
      <c r="AB143" s="7">
        <f ca="1">[1]!b_calc_curve_chinabond("1082",AB$1,$B143)</f>
        <v>2.4754999999999998</v>
      </c>
      <c r="AC143" s="7">
        <f ca="1">[1]!b_calc_curve_chinabond("1082",AC$1,$B143)</f>
        <v>2.4584999999999999</v>
      </c>
      <c r="AD143" s="7">
        <f ca="1">[1]!b_calc_curve_chinabond("1082",AD$1,$B143)</f>
        <v>2.4487000000000001</v>
      </c>
      <c r="AE143" s="7">
        <f ca="1">[1]!b_calc_curve_chinabond("1082",AE$1,$B143)</f>
        <v>2.4386999999999999</v>
      </c>
      <c r="AF143" s="7">
        <f ca="1">[1]!b_calc_curve_chinabond("1082",AF$1,$B143)</f>
        <v>0</v>
      </c>
      <c r="AG143" s="7">
        <f ca="1">[1]!b_calc_curve_chinabond("1082",AG$1,$B143)</f>
        <v>0</v>
      </c>
      <c r="AH143" s="7">
        <f ca="1">[1]!b_calc_curve_chinabond("1082",AH$1,$B143)</f>
        <v>0</v>
      </c>
      <c r="AI143" s="7">
        <f ca="1">[1]!b_calc_curve_chinabond("1082",AI$1,$B143)</f>
        <v>0</v>
      </c>
    </row>
    <row r="144" spans="1:35" ht="19.5" customHeight="1">
      <c r="A144" s="1" t="s">
        <v>144</v>
      </c>
      <c r="B144" s="2">
        <v>13.6</v>
      </c>
      <c r="C144" s="7">
        <f ca="1">[1]!b_calc_curve_chinabond("1082",C$1,$B144)</f>
        <v>2.5152999999999999</v>
      </c>
      <c r="D144" s="7">
        <f ca="1">[1]!b_calc_curve_chinabond("1082",D$1,$B144)</f>
        <v>2.5165999999999999</v>
      </c>
      <c r="E144" s="7">
        <f ca="1">[1]!b_calc_curve_chinabond("1082",E$1,$B144)</f>
        <v>0</v>
      </c>
      <c r="F144" s="7">
        <f ca="1">[1]!b_calc_curve_chinabond("1082",F$1,$B144)</f>
        <v>0</v>
      </c>
      <c r="G144" s="7">
        <f ca="1">[1]!b_calc_curve_chinabond("1082",G$1,$B144)</f>
        <v>2.5108000000000001</v>
      </c>
      <c r="H144" s="7">
        <f ca="1">[1]!b_calc_curve_chinabond("1082",H$1,$B144)</f>
        <v>2.5038</v>
      </c>
      <c r="I144" s="7">
        <f ca="1">[1]!b_calc_curve_chinabond("1082",I$1,$B144)</f>
        <v>2.4954999999999998</v>
      </c>
      <c r="J144" s="7">
        <f ca="1">[1]!b_calc_curve_chinabond("1082",J$1,$B144)</f>
        <v>2.4853999999999998</v>
      </c>
      <c r="K144" s="7">
        <f ca="1">[1]!b_calc_curve_chinabond("1082",K$1,$B144)</f>
        <v>2.4596</v>
      </c>
      <c r="L144" s="7">
        <f ca="1">[1]!b_calc_curve_chinabond("1082",L$1,$B144)</f>
        <v>0</v>
      </c>
      <c r="M144" s="7">
        <f ca="1">[1]!b_calc_curve_chinabond("1082",M$1,$B144)</f>
        <v>0</v>
      </c>
      <c r="N144" s="7">
        <f ca="1">[1]!b_calc_curve_chinabond("1082",N$1,$B144)</f>
        <v>2.4485000000000001</v>
      </c>
      <c r="O144" s="7">
        <f ca="1">[1]!b_calc_curve_chinabond("1082",O$1,$B144)</f>
        <v>2.4373999999999998</v>
      </c>
      <c r="P144" s="7">
        <f ca="1">[1]!b_calc_curve_chinabond("1082",P$1,$B144)</f>
        <v>2.4281000000000001</v>
      </c>
      <c r="Q144" s="7">
        <f ca="1">[1]!b_calc_curve_chinabond("1082",Q$1,$B144)</f>
        <v>2.4205999999999999</v>
      </c>
      <c r="R144" s="7">
        <f ca="1">[1]!b_calc_curve_chinabond("1082",R$1,$B144)</f>
        <v>2.4232999999999998</v>
      </c>
      <c r="S144" s="7">
        <f ca="1">[1]!b_calc_curve_chinabond("1082",S$1,$B144)</f>
        <v>0</v>
      </c>
      <c r="T144" s="7">
        <f ca="1">[1]!b_calc_curve_chinabond("1082",T$1,$B144)</f>
        <v>0</v>
      </c>
      <c r="U144" s="7">
        <f ca="1">[1]!b_calc_curve_chinabond("1082",U$1,$B144)</f>
        <v>2.4339</v>
      </c>
      <c r="V144" s="7">
        <f ca="1">[1]!b_calc_curve_chinabond("1082",V$1,$B144)</f>
        <v>2.4428000000000001</v>
      </c>
      <c r="W144" s="7">
        <f ca="1">[1]!b_calc_curve_chinabond("1082",W$1,$B144)</f>
        <v>2.4548000000000001</v>
      </c>
      <c r="X144" s="7">
        <f ca="1">[1]!b_calc_curve_chinabond("1082",X$1,$B144)</f>
        <v>2.4891999999999999</v>
      </c>
      <c r="Y144" s="7">
        <f ca="1">[1]!b_calc_curve_chinabond("1082",Y$1,$B144)</f>
        <v>2.4853999999999998</v>
      </c>
      <c r="Z144" s="7">
        <f ca="1">[1]!b_calc_curve_chinabond("1082",Z$1,$B144)</f>
        <v>0</v>
      </c>
      <c r="AA144" s="7">
        <f ca="1">[1]!b_calc_curve_chinabond("1082",AA$1,$B144)</f>
        <v>0</v>
      </c>
      <c r="AB144" s="7">
        <f ca="1">[1]!b_calc_curve_chinabond("1082",AB$1,$B144)</f>
        <v>2.4811000000000001</v>
      </c>
      <c r="AC144" s="7">
        <f ca="1">[1]!b_calc_curve_chinabond("1082",AC$1,$B144)</f>
        <v>2.4647000000000001</v>
      </c>
      <c r="AD144" s="7">
        <f ca="1">[1]!b_calc_curve_chinabond("1082",AD$1,$B144)</f>
        <v>2.4540999999999999</v>
      </c>
      <c r="AE144" s="7">
        <f ca="1">[1]!b_calc_curve_chinabond("1082",AE$1,$B144)</f>
        <v>2.4438</v>
      </c>
      <c r="AF144" s="7">
        <f ca="1">[1]!b_calc_curve_chinabond("1082",AF$1,$B144)</f>
        <v>0</v>
      </c>
      <c r="AG144" s="7">
        <f ca="1">[1]!b_calc_curve_chinabond("1082",AG$1,$B144)</f>
        <v>0</v>
      </c>
      <c r="AH144" s="7">
        <f ca="1">[1]!b_calc_curve_chinabond("1082",AH$1,$B144)</f>
        <v>0</v>
      </c>
      <c r="AI144" s="7">
        <f ca="1">[1]!b_calc_curve_chinabond("1082",AI$1,$B144)</f>
        <v>0</v>
      </c>
    </row>
    <row r="145" spans="1:35" ht="19.5" customHeight="1">
      <c r="A145" s="3" t="s">
        <v>145</v>
      </c>
      <c r="B145" s="4">
        <v>13.7</v>
      </c>
      <c r="C145" s="7">
        <f ca="1">[1]!b_calc_curve_chinabond("1082",C$1,$B145)</f>
        <v>2.5211999999999999</v>
      </c>
      <c r="D145" s="7">
        <f ca="1">[1]!b_calc_curve_chinabond("1082",D$1,$B145)</f>
        <v>2.5224000000000002</v>
      </c>
      <c r="E145" s="7">
        <f ca="1">[1]!b_calc_curve_chinabond("1082",E$1,$B145)</f>
        <v>0</v>
      </c>
      <c r="F145" s="7">
        <f ca="1">[1]!b_calc_curve_chinabond("1082",F$1,$B145)</f>
        <v>0</v>
      </c>
      <c r="G145" s="7">
        <f ca="1">[1]!b_calc_curve_chinabond("1082",G$1,$B145)</f>
        <v>2.5163000000000002</v>
      </c>
      <c r="H145" s="7">
        <f ca="1">[1]!b_calc_curve_chinabond("1082",H$1,$B145)</f>
        <v>2.5102000000000002</v>
      </c>
      <c r="I145" s="7">
        <f ca="1">[1]!b_calc_curve_chinabond("1082",I$1,$B145)</f>
        <v>2.5017999999999998</v>
      </c>
      <c r="J145" s="7">
        <f ca="1">[1]!b_calc_curve_chinabond("1082",J$1,$B145)</f>
        <v>2.4916999999999998</v>
      </c>
      <c r="K145" s="7">
        <f ca="1">[1]!b_calc_curve_chinabond("1082",K$1,$B145)</f>
        <v>2.4662999999999999</v>
      </c>
      <c r="L145" s="7">
        <f ca="1">[1]!b_calc_curve_chinabond("1082",L$1,$B145)</f>
        <v>0</v>
      </c>
      <c r="M145" s="7">
        <f ca="1">[1]!b_calc_curve_chinabond("1082",M$1,$B145)</f>
        <v>0</v>
      </c>
      <c r="N145" s="7">
        <f ca="1">[1]!b_calc_curve_chinabond("1082",N$1,$B145)</f>
        <v>2.4550000000000001</v>
      </c>
      <c r="O145" s="7">
        <f ca="1">[1]!b_calc_curve_chinabond("1082",O$1,$B145)</f>
        <v>2.4426999999999999</v>
      </c>
      <c r="P145" s="7">
        <f ca="1">[1]!b_calc_curve_chinabond("1082",P$1,$B145)</f>
        <v>2.4342000000000001</v>
      </c>
      <c r="Q145" s="7">
        <f ca="1">[1]!b_calc_curve_chinabond("1082",Q$1,$B145)</f>
        <v>2.4270999999999998</v>
      </c>
      <c r="R145" s="7">
        <f ca="1">[1]!b_calc_curve_chinabond("1082",R$1,$B145)</f>
        <v>2.4291</v>
      </c>
      <c r="S145" s="7">
        <f ca="1">[1]!b_calc_curve_chinabond("1082",S$1,$B145)</f>
        <v>0</v>
      </c>
      <c r="T145" s="7">
        <f ca="1">[1]!b_calc_curve_chinabond("1082",T$1,$B145)</f>
        <v>0</v>
      </c>
      <c r="U145" s="7">
        <f ca="1">[1]!b_calc_curve_chinabond("1082",U$1,$B145)</f>
        <v>2.4397000000000002</v>
      </c>
      <c r="V145" s="7">
        <f ca="1">[1]!b_calc_curve_chinabond("1082",V$1,$B145)</f>
        <v>2.4483000000000001</v>
      </c>
      <c r="W145" s="7">
        <f ca="1">[1]!b_calc_curve_chinabond("1082",W$1,$B145)</f>
        <v>2.4601999999999999</v>
      </c>
      <c r="X145" s="7">
        <f ca="1">[1]!b_calc_curve_chinabond("1082",X$1,$B145)</f>
        <v>2.4937999999999998</v>
      </c>
      <c r="Y145" s="7">
        <f ca="1">[1]!b_calc_curve_chinabond("1082",Y$1,$B145)</f>
        <v>2.4912000000000001</v>
      </c>
      <c r="Z145" s="7">
        <f ca="1">[1]!b_calc_curve_chinabond("1082",Z$1,$B145)</f>
        <v>0</v>
      </c>
      <c r="AA145" s="7">
        <f ca="1">[1]!b_calc_curve_chinabond("1082",AA$1,$B145)</f>
        <v>0</v>
      </c>
      <c r="AB145" s="7">
        <f ca="1">[1]!b_calc_curve_chinabond("1082",AB$1,$B145)</f>
        <v>2.4866999999999999</v>
      </c>
      <c r="AC145" s="7">
        <f ca="1">[1]!b_calc_curve_chinabond("1082",AC$1,$B145)</f>
        <v>2.4708000000000001</v>
      </c>
      <c r="AD145" s="7">
        <f ca="1">[1]!b_calc_curve_chinabond("1082",AD$1,$B145)</f>
        <v>2.4594999999999998</v>
      </c>
      <c r="AE145" s="7">
        <f ca="1">[1]!b_calc_curve_chinabond("1082",AE$1,$B145)</f>
        <v>2.4489000000000001</v>
      </c>
      <c r="AF145" s="7">
        <f ca="1">[1]!b_calc_curve_chinabond("1082",AF$1,$B145)</f>
        <v>0</v>
      </c>
      <c r="AG145" s="7">
        <f ca="1">[1]!b_calc_curve_chinabond("1082",AG$1,$B145)</f>
        <v>0</v>
      </c>
      <c r="AH145" s="7">
        <f ca="1">[1]!b_calc_curve_chinabond("1082",AH$1,$B145)</f>
        <v>0</v>
      </c>
      <c r="AI145" s="7">
        <f ca="1">[1]!b_calc_curve_chinabond("1082",AI$1,$B145)</f>
        <v>0</v>
      </c>
    </row>
    <row r="146" spans="1:35" ht="19.5" customHeight="1">
      <c r="A146" s="1" t="s">
        <v>146</v>
      </c>
      <c r="B146" s="2">
        <v>13.8</v>
      </c>
      <c r="C146" s="7">
        <f ca="1">[1]!b_calc_curve_chinabond("1082",C$1,$B146)</f>
        <v>2.5270999999999999</v>
      </c>
      <c r="D146" s="7">
        <f ca="1">[1]!b_calc_curve_chinabond("1082",D$1,$B146)</f>
        <v>2.5282</v>
      </c>
      <c r="E146" s="7">
        <f ca="1">[1]!b_calc_curve_chinabond("1082",E$1,$B146)</f>
        <v>0</v>
      </c>
      <c r="F146" s="7">
        <f ca="1">[1]!b_calc_curve_chinabond("1082",F$1,$B146)</f>
        <v>0</v>
      </c>
      <c r="G146" s="7">
        <f ca="1">[1]!b_calc_curve_chinabond("1082",G$1,$B146)</f>
        <v>2.5217999999999998</v>
      </c>
      <c r="H146" s="7">
        <f ca="1">[1]!b_calc_curve_chinabond("1082",H$1,$B146)</f>
        <v>2.5165000000000002</v>
      </c>
      <c r="I146" s="7">
        <f ca="1">[1]!b_calc_curve_chinabond("1082",I$1,$B146)</f>
        <v>2.5081000000000002</v>
      </c>
      <c r="J146" s="7">
        <f ca="1">[1]!b_calc_curve_chinabond("1082",J$1,$B146)</f>
        <v>2.4980000000000002</v>
      </c>
      <c r="K146" s="7">
        <f ca="1">[1]!b_calc_curve_chinabond("1082",K$1,$B146)</f>
        <v>2.4729000000000001</v>
      </c>
      <c r="L146" s="7">
        <f ca="1">[1]!b_calc_curve_chinabond("1082",L$1,$B146)</f>
        <v>0</v>
      </c>
      <c r="M146" s="7">
        <f ca="1">[1]!b_calc_curve_chinabond("1082",M$1,$B146)</f>
        <v>0</v>
      </c>
      <c r="N146" s="7">
        <f ca="1">[1]!b_calc_curve_chinabond("1082",N$1,$B146)</f>
        <v>2.4613999999999998</v>
      </c>
      <c r="O146" s="7">
        <f ca="1">[1]!b_calc_curve_chinabond("1082",O$1,$B146)</f>
        <v>2.4481000000000002</v>
      </c>
      <c r="P146" s="7">
        <f ca="1">[1]!b_calc_curve_chinabond("1082",P$1,$B146)</f>
        <v>2.4403000000000001</v>
      </c>
      <c r="Q146" s="7">
        <f ca="1">[1]!b_calc_curve_chinabond("1082",Q$1,$B146)</f>
        <v>2.4335</v>
      </c>
      <c r="R146" s="7">
        <f ca="1">[1]!b_calc_curve_chinabond("1082",R$1,$B146)</f>
        <v>2.4348999999999998</v>
      </c>
      <c r="S146" s="7">
        <f ca="1">[1]!b_calc_curve_chinabond("1082",S$1,$B146)</f>
        <v>0</v>
      </c>
      <c r="T146" s="7">
        <f ca="1">[1]!b_calc_curve_chinabond("1082",T$1,$B146)</f>
        <v>0</v>
      </c>
      <c r="U146" s="7">
        <f ca="1">[1]!b_calc_curve_chinabond("1082",U$1,$B146)</f>
        <v>2.4455</v>
      </c>
      <c r="V146" s="7">
        <f ca="1">[1]!b_calc_curve_chinabond("1082",V$1,$B146)</f>
        <v>2.4537</v>
      </c>
      <c r="W146" s="7">
        <f ca="1">[1]!b_calc_curve_chinabond("1082",W$1,$B146)</f>
        <v>2.4655999999999998</v>
      </c>
      <c r="X146" s="7">
        <f ca="1">[1]!b_calc_curve_chinabond("1082",X$1,$B146)</f>
        <v>2.4983</v>
      </c>
      <c r="Y146" s="7">
        <f ca="1">[1]!b_calc_curve_chinabond("1082",Y$1,$B146)</f>
        <v>2.4969000000000001</v>
      </c>
      <c r="Z146" s="7">
        <f ca="1">[1]!b_calc_curve_chinabond("1082",Z$1,$B146)</f>
        <v>0</v>
      </c>
      <c r="AA146" s="7">
        <f ca="1">[1]!b_calc_curve_chinabond("1082",AA$1,$B146)</f>
        <v>0</v>
      </c>
      <c r="AB146" s="7">
        <f ca="1">[1]!b_calc_curve_chinabond("1082",AB$1,$B146)</f>
        <v>2.4922</v>
      </c>
      <c r="AC146" s="7">
        <f ca="1">[1]!b_calc_curve_chinabond("1082",AC$1,$B146)</f>
        <v>2.4769000000000001</v>
      </c>
      <c r="AD146" s="7">
        <f ca="1">[1]!b_calc_curve_chinabond("1082",AD$1,$B146)</f>
        <v>2.4649999999999999</v>
      </c>
      <c r="AE146" s="7">
        <f ca="1">[1]!b_calc_curve_chinabond("1082",AE$1,$B146)</f>
        <v>2.4539</v>
      </c>
      <c r="AF146" s="7">
        <f ca="1">[1]!b_calc_curve_chinabond("1082",AF$1,$B146)</f>
        <v>0</v>
      </c>
      <c r="AG146" s="7">
        <f ca="1">[1]!b_calc_curve_chinabond("1082",AG$1,$B146)</f>
        <v>0</v>
      </c>
      <c r="AH146" s="7">
        <f ca="1">[1]!b_calc_curve_chinabond("1082",AH$1,$B146)</f>
        <v>0</v>
      </c>
      <c r="AI146" s="7">
        <f ca="1">[1]!b_calc_curve_chinabond("1082",AI$1,$B146)</f>
        <v>0</v>
      </c>
    </row>
    <row r="147" spans="1:35" ht="19.5" customHeight="1">
      <c r="A147" s="3" t="s">
        <v>147</v>
      </c>
      <c r="B147" s="4">
        <v>13.9</v>
      </c>
      <c r="C147" s="7">
        <f ca="1">[1]!b_calc_curve_chinabond("1082",C$1,$B147)</f>
        <v>2.5329999999999999</v>
      </c>
      <c r="D147" s="7">
        <f ca="1">[1]!b_calc_curve_chinabond("1082",D$1,$B147)</f>
        <v>2.5339999999999998</v>
      </c>
      <c r="E147" s="7">
        <f ca="1">[1]!b_calc_curve_chinabond("1082",E$1,$B147)</f>
        <v>0</v>
      </c>
      <c r="F147" s="7">
        <f ca="1">[1]!b_calc_curve_chinabond("1082",F$1,$B147)</f>
        <v>0</v>
      </c>
      <c r="G147" s="7">
        <f ca="1">[1]!b_calc_curve_chinabond("1082",G$1,$B147)</f>
        <v>2.5272999999999999</v>
      </c>
      <c r="H147" s="7">
        <f ca="1">[1]!b_calc_curve_chinabond("1082",H$1,$B147)</f>
        <v>2.5228000000000002</v>
      </c>
      <c r="I147" s="7">
        <f ca="1">[1]!b_calc_curve_chinabond("1082",I$1,$B147)</f>
        <v>2.5143</v>
      </c>
      <c r="J147" s="7">
        <f ca="1">[1]!b_calc_curve_chinabond("1082",J$1,$B147)</f>
        <v>2.5043000000000002</v>
      </c>
      <c r="K147" s="7">
        <f ca="1">[1]!b_calc_curve_chinabond("1082",K$1,$B147)</f>
        <v>2.4794999999999998</v>
      </c>
      <c r="L147" s="7">
        <f ca="1">[1]!b_calc_curve_chinabond("1082",L$1,$B147)</f>
        <v>0</v>
      </c>
      <c r="M147" s="7">
        <f ca="1">[1]!b_calc_curve_chinabond("1082",M$1,$B147)</f>
        <v>0</v>
      </c>
      <c r="N147" s="7">
        <f ca="1">[1]!b_calc_curve_chinabond("1082",N$1,$B147)</f>
        <v>2.4678</v>
      </c>
      <c r="O147" s="7">
        <f ca="1">[1]!b_calc_curve_chinabond("1082",O$1,$B147)</f>
        <v>2.4535</v>
      </c>
      <c r="P147" s="7">
        <f ca="1">[1]!b_calc_curve_chinabond("1082",P$1,$B147)</f>
        <v>2.4462999999999999</v>
      </c>
      <c r="Q147" s="7">
        <f ca="1">[1]!b_calc_curve_chinabond("1082",Q$1,$B147)</f>
        <v>2.44</v>
      </c>
      <c r="R147" s="7">
        <f ca="1">[1]!b_calc_curve_chinabond("1082",R$1,$B147)</f>
        <v>2.4405999999999999</v>
      </c>
      <c r="S147" s="7">
        <f ca="1">[1]!b_calc_curve_chinabond("1082",S$1,$B147)</f>
        <v>0</v>
      </c>
      <c r="T147" s="7">
        <f ca="1">[1]!b_calc_curve_chinabond("1082",T$1,$B147)</f>
        <v>0</v>
      </c>
      <c r="U147" s="7">
        <f ca="1">[1]!b_calc_curve_chinabond("1082",U$1,$B147)</f>
        <v>2.4512</v>
      </c>
      <c r="V147" s="7">
        <f ca="1">[1]!b_calc_curve_chinabond("1082",V$1,$B147)</f>
        <v>2.4592000000000001</v>
      </c>
      <c r="W147" s="7">
        <f ca="1">[1]!b_calc_curve_chinabond("1082",W$1,$B147)</f>
        <v>2.4710000000000001</v>
      </c>
      <c r="X147" s="7">
        <f ca="1">[1]!b_calc_curve_chinabond("1082",X$1,$B147)</f>
        <v>2.5028999999999999</v>
      </c>
      <c r="Y147" s="7">
        <f ca="1">[1]!b_calc_curve_chinabond("1082",Y$1,$B147)</f>
        <v>2.5024999999999999</v>
      </c>
      <c r="Z147" s="7">
        <f ca="1">[1]!b_calc_curve_chinabond("1082",Z$1,$B147)</f>
        <v>0</v>
      </c>
      <c r="AA147" s="7">
        <f ca="1">[1]!b_calc_curve_chinabond("1082",AA$1,$B147)</f>
        <v>0</v>
      </c>
      <c r="AB147" s="7">
        <f ca="1">[1]!b_calc_curve_chinabond("1082",AB$1,$B147)</f>
        <v>2.4977</v>
      </c>
      <c r="AC147" s="7">
        <f ca="1">[1]!b_calc_curve_chinabond("1082",AC$1,$B147)</f>
        <v>2.4830000000000001</v>
      </c>
      <c r="AD147" s="7">
        <f ca="1">[1]!b_calc_curve_chinabond("1082",AD$1,$B147)</f>
        <v>2.4702999999999999</v>
      </c>
      <c r="AE147" s="7">
        <f ca="1">[1]!b_calc_curve_chinabond("1082",AE$1,$B147)</f>
        <v>2.4588999999999999</v>
      </c>
      <c r="AF147" s="7">
        <f ca="1">[1]!b_calc_curve_chinabond("1082",AF$1,$B147)</f>
        <v>0</v>
      </c>
      <c r="AG147" s="7">
        <f ca="1">[1]!b_calc_curve_chinabond("1082",AG$1,$B147)</f>
        <v>0</v>
      </c>
      <c r="AH147" s="7">
        <f ca="1">[1]!b_calc_curve_chinabond("1082",AH$1,$B147)</f>
        <v>0</v>
      </c>
      <c r="AI147" s="7">
        <f ca="1">[1]!b_calc_curve_chinabond("1082",AI$1,$B147)</f>
        <v>0</v>
      </c>
    </row>
    <row r="148" spans="1:35" ht="19.5" customHeight="1">
      <c r="A148" s="1" t="s">
        <v>148</v>
      </c>
      <c r="B148" s="2">
        <v>14</v>
      </c>
      <c r="C148" s="7">
        <f ca="1">[1]!b_calc_curve_chinabond("1082",C$1,$B148)</f>
        <v>2.5388999999999999</v>
      </c>
      <c r="D148" s="7">
        <f ca="1">[1]!b_calc_curve_chinabond("1082",D$1,$B148)</f>
        <v>2.5396999999999998</v>
      </c>
      <c r="E148" s="7">
        <f ca="1">[1]!b_calc_curve_chinabond("1082",E$1,$B148)</f>
        <v>0</v>
      </c>
      <c r="F148" s="7">
        <f ca="1">[1]!b_calc_curve_chinabond("1082",F$1,$B148)</f>
        <v>0</v>
      </c>
      <c r="G148" s="7">
        <f ca="1">[1]!b_calc_curve_chinabond("1082",G$1,$B148)</f>
        <v>2.5327999999999999</v>
      </c>
      <c r="H148" s="7">
        <f ca="1">[1]!b_calc_curve_chinabond("1082",H$1,$B148)</f>
        <v>2.5291000000000001</v>
      </c>
      <c r="I148" s="7">
        <f ca="1">[1]!b_calc_curve_chinabond("1082",I$1,$B148)</f>
        <v>2.5205000000000002</v>
      </c>
      <c r="J148" s="7">
        <f ca="1">[1]!b_calc_curve_chinabond("1082",J$1,$B148)</f>
        <v>2.5105</v>
      </c>
      <c r="K148" s="7">
        <f ca="1">[1]!b_calc_curve_chinabond("1082",K$1,$B148)</f>
        <v>2.4860000000000002</v>
      </c>
      <c r="L148" s="7">
        <f ca="1">[1]!b_calc_curve_chinabond("1082",L$1,$B148)</f>
        <v>0</v>
      </c>
      <c r="M148" s="7">
        <f ca="1">[1]!b_calc_curve_chinabond("1082",M$1,$B148)</f>
        <v>0</v>
      </c>
      <c r="N148" s="7">
        <f ca="1">[1]!b_calc_curve_chinabond("1082",N$1,$B148)</f>
        <v>2.4741</v>
      </c>
      <c r="O148" s="7">
        <f ca="1">[1]!b_calc_curve_chinabond("1082",O$1,$B148)</f>
        <v>2.4588000000000001</v>
      </c>
      <c r="P148" s="7">
        <f ca="1">[1]!b_calc_curve_chinabond("1082",P$1,$B148)</f>
        <v>2.4523000000000001</v>
      </c>
      <c r="Q148" s="7">
        <f ca="1">[1]!b_calc_curve_chinabond("1082",Q$1,$B148)</f>
        <v>2.4462999999999999</v>
      </c>
      <c r="R148" s="7">
        <f ca="1">[1]!b_calc_curve_chinabond("1082",R$1,$B148)</f>
        <v>2.4462999999999999</v>
      </c>
      <c r="S148" s="7">
        <f ca="1">[1]!b_calc_curve_chinabond("1082",S$1,$B148)</f>
        <v>0</v>
      </c>
      <c r="T148" s="7">
        <f ca="1">[1]!b_calc_curve_chinabond("1082",T$1,$B148)</f>
        <v>0</v>
      </c>
      <c r="U148" s="7">
        <f ca="1">[1]!b_calc_curve_chinabond("1082",U$1,$B148)</f>
        <v>2.4569000000000001</v>
      </c>
      <c r="V148" s="7">
        <f ca="1">[1]!b_calc_curve_chinabond("1082",V$1,$B148)</f>
        <v>2.4645999999999999</v>
      </c>
      <c r="W148" s="7">
        <f ca="1">[1]!b_calc_curve_chinabond("1082",W$1,$B148)</f>
        <v>2.4763999999999999</v>
      </c>
      <c r="X148" s="7">
        <f ca="1">[1]!b_calc_curve_chinabond("1082",X$1,$B148)</f>
        <v>2.5074000000000001</v>
      </c>
      <c r="Y148" s="7">
        <f ca="1">[1]!b_calc_curve_chinabond("1082",Y$1,$B148)</f>
        <v>2.5082</v>
      </c>
      <c r="Z148" s="7">
        <f ca="1">[1]!b_calc_curve_chinabond("1082",Z$1,$B148)</f>
        <v>0</v>
      </c>
      <c r="AA148" s="7">
        <f ca="1">[1]!b_calc_curve_chinabond("1082",AA$1,$B148)</f>
        <v>0</v>
      </c>
      <c r="AB148" s="7">
        <f ca="1">[1]!b_calc_curve_chinabond("1082",AB$1,$B148)</f>
        <v>2.5032000000000001</v>
      </c>
      <c r="AC148" s="7">
        <f ca="1">[1]!b_calc_curve_chinabond("1082",AC$1,$B148)</f>
        <v>2.4889999999999999</v>
      </c>
      <c r="AD148" s="7">
        <f ca="1">[1]!b_calc_curve_chinabond("1082",AD$1,$B148)</f>
        <v>2.4756999999999998</v>
      </c>
      <c r="AE148" s="7">
        <f ca="1">[1]!b_calc_curve_chinabond("1082",AE$1,$B148)</f>
        <v>2.464</v>
      </c>
      <c r="AF148" s="7">
        <f ca="1">[1]!b_calc_curve_chinabond("1082",AF$1,$B148)</f>
        <v>0</v>
      </c>
      <c r="AG148" s="7">
        <f ca="1">[1]!b_calc_curve_chinabond("1082",AG$1,$B148)</f>
        <v>0</v>
      </c>
      <c r="AH148" s="7">
        <f ca="1">[1]!b_calc_curve_chinabond("1082",AH$1,$B148)</f>
        <v>0</v>
      </c>
      <c r="AI148" s="7">
        <f ca="1">[1]!b_calc_curve_chinabond("1082",AI$1,$B148)</f>
        <v>0</v>
      </c>
    </row>
    <row r="149" spans="1:35" ht="19.5" customHeight="1">
      <c r="A149" s="3" t="s">
        <v>149</v>
      </c>
      <c r="B149" s="4">
        <v>14.1</v>
      </c>
      <c r="C149" s="7">
        <f ca="1">[1]!b_calc_curve_chinabond("1082",C$1,$B149)</f>
        <v>2.5447000000000002</v>
      </c>
      <c r="D149" s="7">
        <f ca="1">[1]!b_calc_curve_chinabond("1082",D$1,$B149)</f>
        <v>2.5455000000000001</v>
      </c>
      <c r="E149" s="7">
        <f ca="1">[1]!b_calc_curve_chinabond("1082",E$1,$B149)</f>
        <v>0</v>
      </c>
      <c r="F149" s="7">
        <f ca="1">[1]!b_calc_curve_chinabond("1082",F$1,$B149)</f>
        <v>0</v>
      </c>
      <c r="G149" s="7">
        <f ca="1">[1]!b_calc_curve_chinabond("1082",G$1,$B149)</f>
        <v>2.5381999999999998</v>
      </c>
      <c r="H149" s="7">
        <f ca="1">[1]!b_calc_curve_chinabond("1082",H$1,$B149)</f>
        <v>2.5352999999999999</v>
      </c>
      <c r="I149" s="7">
        <f ca="1">[1]!b_calc_curve_chinabond("1082",I$1,$B149)</f>
        <v>2.5266999999999999</v>
      </c>
      <c r="J149" s="7">
        <f ca="1">[1]!b_calc_curve_chinabond("1082",J$1,$B149)</f>
        <v>2.5167999999999999</v>
      </c>
      <c r="K149" s="7">
        <f ca="1">[1]!b_calc_curve_chinabond("1082",K$1,$B149)</f>
        <v>2.4925000000000002</v>
      </c>
      <c r="L149" s="7">
        <f ca="1">[1]!b_calc_curve_chinabond("1082",L$1,$B149)</f>
        <v>0</v>
      </c>
      <c r="M149" s="7">
        <f ca="1">[1]!b_calc_curve_chinabond("1082",M$1,$B149)</f>
        <v>0</v>
      </c>
      <c r="N149" s="7">
        <f ca="1">[1]!b_calc_curve_chinabond("1082",N$1,$B149)</f>
        <v>2.4803999999999999</v>
      </c>
      <c r="O149" s="7">
        <f ca="1">[1]!b_calc_curve_chinabond("1082",O$1,$B149)</f>
        <v>2.4641000000000002</v>
      </c>
      <c r="P149" s="7">
        <f ca="1">[1]!b_calc_curve_chinabond("1082",P$1,$B149)</f>
        <v>2.4582999999999999</v>
      </c>
      <c r="Q149" s="7">
        <f ca="1">[1]!b_calc_curve_chinabond("1082",Q$1,$B149)</f>
        <v>2.4527000000000001</v>
      </c>
      <c r="R149" s="7">
        <f ca="1">[1]!b_calc_curve_chinabond("1082",R$1,$B149)</f>
        <v>2.452</v>
      </c>
      <c r="S149" s="7">
        <f ca="1">[1]!b_calc_curve_chinabond("1082",S$1,$B149)</f>
        <v>0</v>
      </c>
      <c r="T149" s="7">
        <f ca="1">[1]!b_calc_curve_chinabond("1082",T$1,$B149)</f>
        <v>0</v>
      </c>
      <c r="U149" s="7">
        <f ca="1">[1]!b_calc_curve_chinabond("1082",U$1,$B149)</f>
        <v>2.4626000000000001</v>
      </c>
      <c r="V149" s="7">
        <f ca="1">[1]!b_calc_curve_chinabond("1082",V$1,$B149)</f>
        <v>2.4700000000000002</v>
      </c>
      <c r="W149" s="7">
        <f ca="1">[1]!b_calc_curve_chinabond("1082",W$1,$B149)</f>
        <v>2.4817999999999998</v>
      </c>
      <c r="X149" s="7">
        <f ca="1">[1]!b_calc_curve_chinabond("1082",X$1,$B149)</f>
        <v>2.512</v>
      </c>
      <c r="Y149" s="7">
        <f ca="1">[1]!b_calc_curve_chinabond("1082",Y$1,$B149)</f>
        <v>2.5137999999999998</v>
      </c>
      <c r="Z149" s="7">
        <f ca="1">[1]!b_calc_curve_chinabond("1082",Z$1,$B149)</f>
        <v>0</v>
      </c>
      <c r="AA149" s="7">
        <f ca="1">[1]!b_calc_curve_chinabond("1082",AA$1,$B149)</f>
        <v>0</v>
      </c>
      <c r="AB149" s="7">
        <f ca="1">[1]!b_calc_curve_chinabond("1082",AB$1,$B149)</f>
        <v>2.5085999999999999</v>
      </c>
      <c r="AC149" s="7">
        <f ca="1">[1]!b_calc_curve_chinabond("1082",AC$1,$B149)</f>
        <v>2.4950000000000001</v>
      </c>
      <c r="AD149" s="7">
        <f ca="1">[1]!b_calc_curve_chinabond("1082",AD$1,$B149)</f>
        <v>2.4809999999999999</v>
      </c>
      <c r="AE149" s="7">
        <f ca="1">[1]!b_calc_curve_chinabond("1082",AE$1,$B149)</f>
        <v>2.4689999999999999</v>
      </c>
      <c r="AF149" s="7">
        <f ca="1">[1]!b_calc_curve_chinabond("1082",AF$1,$B149)</f>
        <v>0</v>
      </c>
      <c r="AG149" s="7">
        <f ca="1">[1]!b_calc_curve_chinabond("1082",AG$1,$B149)</f>
        <v>0</v>
      </c>
      <c r="AH149" s="7">
        <f ca="1">[1]!b_calc_curve_chinabond("1082",AH$1,$B149)</f>
        <v>0</v>
      </c>
      <c r="AI149" s="7">
        <f ca="1">[1]!b_calc_curve_chinabond("1082",AI$1,$B149)</f>
        <v>0</v>
      </c>
    </row>
    <row r="150" spans="1:35" ht="19.5" customHeight="1">
      <c r="A150" s="1" t="s">
        <v>150</v>
      </c>
      <c r="B150" s="2">
        <v>14.2</v>
      </c>
      <c r="C150" s="7">
        <f ca="1">[1]!b_calc_curve_chinabond("1082",C$1,$B150)</f>
        <v>2.5506000000000002</v>
      </c>
      <c r="D150" s="7">
        <f ca="1">[1]!b_calc_curve_chinabond("1082",D$1,$B150)</f>
        <v>2.5512000000000001</v>
      </c>
      <c r="E150" s="7">
        <f ca="1">[1]!b_calc_curve_chinabond("1082",E$1,$B150)</f>
        <v>0</v>
      </c>
      <c r="F150" s="7">
        <f ca="1">[1]!b_calc_curve_chinabond("1082",F$1,$B150)</f>
        <v>0</v>
      </c>
      <c r="G150" s="7">
        <f ca="1">[1]!b_calc_curve_chinabond("1082",G$1,$B150)</f>
        <v>2.5436000000000001</v>
      </c>
      <c r="H150" s="7">
        <f ca="1">[1]!b_calc_curve_chinabond("1082",H$1,$B150)</f>
        <v>2.5415000000000001</v>
      </c>
      <c r="I150" s="7">
        <f ca="1">[1]!b_calc_curve_chinabond("1082",I$1,$B150)</f>
        <v>2.5329000000000002</v>
      </c>
      <c r="J150" s="7">
        <f ca="1">[1]!b_calc_curve_chinabond("1082",J$1,$B150)</f>
        <v>2.5228999999999999</v>
      </c>
      <c r="K150" s="7">
        <f ca="1">[1]!b_calc_curve_chinabond("1082",K$1,$B150)</f>
        <v>2.4988999999999999</v>
      </c>
      <c r="L150" s="7">
        <f ca="1">[1]!b_calc_curve_chinabond("1082",L$1,$B150)</f>
        <v>0</v>
      </c>
      <c r="M150" s="7">
        <f ca="1">[1]!b_calc_curve_chinabond("1082",M$1,$B150)</f>
        <v>0</v>
      </c>
      <c r="N150" s="7">
        <f ca="1">[1]!b_calc_curve_chinabond("1082",N$1,$B150)</f>
        <v>2.4866999999999999</v>
      </c>
      <c r="O150" s="7">
        <f ca="1">[1]!b_calc_curve_chinabond("1082",O$1,$B150)</f>
        <v>2.4693999999999998</v>
      </c>
      <c r="P150" s="7">
        <f ca="1">[1]!b_calc_curve_chinabond("1082",P$1,$B150)</f>
        <v>2.4641999999999999</v>
      </c>
      <c r="Q150" s="7">
        <f ca="1">[1]!b_calc_curve_chinabond("1082",Q$1,$B150)</f>
        <v>2.4588999999999999</v>
      </c>
      <c r="R150" s="7">
        <f ca="1">[1]!b_calc_curve_chinabond("1082",R$1,$B150)</f>
        <v>2.4577</v>
      </c>
      <c r="S150" s="7">
        <f ca="1">[1]!b_calc_curve_chinabond("1082",S$1,$B150)</f>
        <v>0</v>
      </c>
      <c r="T150" s="7">
        <f ca="1">[1]!b_calc_curve_chinabond("1082",T$1,$B150)</f>
        <v>0</v>
      </c>
      <c r="U150" s="7">
        <f ca="1">[1]!b_calc_curve_chinabond("1082",U$1,$B150)</f>
        <v>2.4683000000000002</v>
      </c>
      <c r="V150" s="7">
        <f ca="1">[1]!b_calc_curve_chinabond("1082",V$1,$B150)</f>
        <v>2.4754</v>
      </c>
      <c r="W150" s="7">
        <f ca="1">[1]!b_calc_curve_chinabond("1082",W$1,$B150)</f>
        <v>2.4870999999999999</v>
      </c>
      <c r="X150" s="7">
        <f ca="1">[1]!b_calc_curve_chinabond("1082",X$1,$B150)</f>
        <v>2.5165999999999999</v>
      </c>
      <c r="Y150" s="7">
        <f ca="1">[1]!b_calc_curve_chinabond("1082",Y$1,$B150)</f>
        <v>2.5192999999999999</v>
      </c>
      <c r="Z150" s="7">
        <f ca="1">[1]!b_calc_curve_chinabond("1082",Z$1,$B150)</f>
        <v>0</v>
      </c>
      <c r="AA150" s="7">
        <f ca="1">[1]!b_calc_curve_chinabond("1082",AA$1,$B150)</f>
        <v>0</v>
      </c>
      <c r="AB150" s="7">
        <f ca="1">[1]!b_calc_curve_chinabond("1082",AB$1,$B150)</f>
        <v>2.5141</v>
      </c>
      <c r="AC150" s="7">
        <f ca="1">[1]!b_calc_curve_chinabond("1082",AC$1,$B150)</f>
        <v>2.5007999999999999</v>
      </c>
      <c r="AD150" s="7">
        <f ca="1">[1]!b_calc_curve_chinabond("1082",AD$1,$B150)</f>
        <v>2.4863</v>
      </c>
      <c r="AE150" s="7">
        <f ca="1">[1]!b_calc_curve_chinabond("1082",AE$1,$B150)</f>
        <v>2.4739</v>
      </c>
      <c r="AF150" s="7">
        <f ca="1">[1]!b_calc_curve_chinabond("1082",AF$1,$B150)</f>
        <v>0</v>
      </c>
      <c r="AG150" s="7">
        <f ca="1">[1]!b_calc_curve_chinabond("1082",AG$1,$B150)</f>
        <v>0</v>
      </c>
      <c r="AH150" s="7">
        <f ca="1">[1]!b_calc_curve_chinabond("1082",AH$1,$B150)</f>
        <v>0</v>
      </c>
      <c r="AI150" s="7">
        <f ca="1">[1]!b_calc_curve_chinabond("1082",AI$1,$B150)</f>
        <v>0</v>
      </c>
    </row>
    <row r="151" spans="1:35" ht="19.5" customHeight="1">
      <c r="A151" s="3" t="s">
        <v>151</v>
      </c>
      <c r="B151" s="4">
        <v>14.3</v>
      </c>
      <c r="C151" s="7">
        <f ca="1">[1]!b_calc_curve_chinabond("1082",C$1,$B151)</f>
        <v>2.5564</v>
      </c>
      <c r="D151" s="7">
        <f ca="1">[1]!b_calc_curve_chinabond("1082",D$1,$B151)</f>
        <v>2.5569000000000002</v>
      </c>
      <c r="E151" s="7">
        <f ca="1">[1]!b_calc_curve_chinabond("1082",E$1,$B151)</f>
        <v>0</v>
      </c>
      <c r="F151" s="7">
        <f ca="1">[1]!b_calc_curve_chinabond("1082",F$1,$B151)</f>
        <v>0</v>
      </c>
      <c r="G151" s="7">
        <f ca="1">[1]!b_calc_curve_chinabond("1082",G$1,$B151)</f>
        <v>2.5491000000000001</v>
      </c>
      <c r="H151" s="7">
        <f ca="1">[1]!b_calc_curve_chinabond("1082",H$1,$B151)</f>
        <v>2.5476999999999999</v>
      </c>
      <c r="I151" s="7">
        <f ca="1">[1]!b_calc_curve_chinabond("1082",I$1,$B151)</f>
        <v>2.5390000000000001</v>
      </c>
      <c r="J151" s="7">
        <f ca="1">[1]!b_calc_curve_chinabond("1082",J$1,$B151)</f>
        <v>2.5291000000000001</v>
      </c>
      <c r="K151" s="7">
        <f ca="1">[1]!b_calc_curve_chinabond("1082",K$1,$B151)</f>
        <v>2.5051999999999999</v>
      </c>
      <c r="L151" s="7">
        <f ca="1">[1]!b_calc_curve_chinabond("1082",L$1,$B151)</f>
        <v>0</v>
      </c>
      <c r="M151" s="7">
        <f ca="1">[1]!b_calc_curve_chinabond("1082",M$1,$B151)</f>
        <v>0</v>
      </c>
      <c r="N151" s="7">
        <f ca="1">[1]!b_calc_curve_chinabond("1082",N$1,$B151)</f>
        <v>2.4927999999999999</v>
      </c>
      <c r="O151" s="7">
        <f ca="1">[1]!b_calc_curve_chinabond("1082",O$1,$B151)</f>
        <v>2.4746999999999999</v>
      </c>
      <c r="P151" s="7">
        <f ca="1">[1]!b_calc_curve_chinabond("1082",P$1,$B151)</f>
        <v>2.4700000000000002</v>
      </c>
      <c r="Q151" s="7">
        <f ca="1">[1]!b_calc_curve_chinabond("1082",Q$1,$B151)</f>
        <v>2.4651000000000001</v>
      </c>
      <c r="R151" s="7">
        <f ca="1">[1]!b_calc_curve_chinabond("1082",R$1,$B151)</f>
        <v>2.4632999999999998</v>
      </c>
      <c r="S151" s="7">
        <f ca="1">[1]!b_calc_curve_chinabond("1082",S$1,$B151)</f>
        <v>0</v>
      </c>
      <c r="T151" s="7">
        <f ca="1">[1]!b_calc_curve_chinabond("1082",T$1,$B151)</f>
        <v>0</v>
      </c>
      <c r="U151" s="7">
        <f ca="1">[1]!b_calc_curve_chinabond("1082",U$1,$B151)</f>
        <v>2.4739</v>
      </c>
      <c r="V151" s="7">
        <f ca="1">[1]!b_calc_curve_chinabond("1082",V$1,$B151)</f>
        <v>2.4807000000000001</v>
      </c>
      <c r="W151" s="7">
        <f ca="1">[1]!b_calc_curve_chinabond("1082",W$1,$B151)</f>
        <v>2.4923000000000002</v>
      </c>
      <c r="X151" s="7">
        <f ca="1">[1]!b_calc_curve_chinabond("1082",X$1,$B151)</f>
        <v>2.5211999999999999</v>
      </c>
      <c r="Y151" s="7">
        <f ca="1">[1]!b_calc_curve_chinabond("1082",Y$1,$B151)</f>
        <v>2.5247999999999999</v>
      </c>
      <c r="Z151" s="7">
        <f ca="1">[1]!b_calc_curve_chinabond("1082",Z$1,$B151)</f>
        <v>0</v>
      </c>
      <c r="AA151" s="7">
        <f ca="1">[1]!b_calc_curve_chinabond("1082",AA$1,$B151)</f>
        <v>0</v>
      </c>
      <c r="AB151" s="7">
        <f ca="1">[1]!b_calc_curve_chinabond("1082",AB$1,$B151)</f>
        <v>2.5194000000000001</v>
      </c>
      <c r="AC151" s="7">
        <f ca="1">[1]!b_calc_curve_chinabond("1082",AC$1,$B151)</f>
        <v>2.5066000000000002</v>
      </c>
      <c r="AD151" s="7">
        <f ca="1">[1]!b_calc_curve_chinabond("1082",AD$1,$B151)</f>
        <v>2.4916</v>
      </c>
      <c r="AE151" s="7">
        <f ca="1">[1]!b_calc_curve_chinabond("1082",AE$1,$B151)</f>
        <v>2.4788999999999999</v>
      </c>
      <c r="AF151" s="7">
        <f ca="1">[1]!b_calc_curve_chinabond("1082",AF$1,$B151)</f>
        <v>0</v>
      </c>
      <c r="AG151" s="7">
        <f ca="1">[1]!b_calc_curve_chinabond("1082",AG$1,$B151)</f>
        <v>0</v>
      </c>
      <c r="AH151" s="7">
        <f ca="1">[1]!b_calc_curve_chinabond("1082",AH$1,$B151)</f>
        <v>0</v>
      </c>
      <c r="AI151" s="7">
        <f ca="1">[1]!b_calc_curve_chinabond("1082",AI$1,$B151)</f>
        <v>0</v>
      </c>
    </row>
    <row r="152" spans="1:35" ht="19.5" customHeight="1">
      <c r="A152" s="1" t="s">
        <v>152</v>
      </c>
      <c r="B152" s="2">
        <v>14.4</v>
      </c>
      <c r="C152" s="7">
        <f ca="1">[1]!b_calc_curve_chinabond("1082",C$1,$B152)</f>
        <v>2.5621</v>
      </c>
      <c r="D152" s="7">
        <f ca="1">[1]!b_calc_curve_chinabond("1082",D$1,$B152)</f>
        <v>2.5625</v>
      </c>
      <c r="E152" s="7">
        <f ca="1">[1]!b_calc_curve_chinabond("1082",E$1,$B152)</f>
        <v>0</v>
      </c>
      <c r="F152" s="7">
        <f ca="1">[1]!b_calc_curve_chinabond("1082",F$1,$B152)</f>
        <v>0</v>
      </c>
      <c r="G152" s="7">
        <f ca="1">[1]!b_calc_curve_chinabond("1082",G$1,$B152)</f>
        <v>2.5545</v>
      </c>
      <c r="H152" s="7">
        <f ca="1">[1]!b_calc_curve_chinabond("1082",H$1,$B152)</f>
        <v>2.5537999999999998</v>
      </c>
      <c r="I152" s="7">
        <f ca="1">[1]!b_calc_curve_chinabond("1082",I$1,$B152)</f>
        <v>2.5449999999999999</v>
      </c>
      <c r="J152" s="7">
        <f ca="1">[1]!b_calc_curve_chinabond("1082",J$1,$B152)</f>
        <v>2.5352000000000001</v>
      </c>
      <c r="K152" s="7">
        <f ca="1">[1]!b_calc_curve_chinabond("1082",K$1,$B152)</f>
        <v>2.5114999999999998</v>
      </c>
      <c r="L152" s="7">
        <f ca="1">[1]!b_calc_curve_chinabond("1082",L$1,$B152)</f>
        <v>0</v>
      </c>
      <c r="M152" s="7">
        <f ca="1">[1]!b_calc_curve_chinabond("1082",M$1,$B152)</f>
        <v>0</v>
      </c>
      <c r="N152" s="7">
        <f ca="1">[1]!b_calc_curve_chinabond("1082",N$1,$B152)</f>
        <v>2.4988999999999999</v>
      </c>
      <c r="O152" s="7">
        <f ca="1">[1]!b_calc_curve_chinabond("1082",O$1,$B152)</f>
        <v>2.4799000000000002</v>
      </c>
      <c r="P152" s="7">
        <f ca="1">[1]!b_calc_curve_chinabond("1082",P$1,$B152)</f>
        <v>2.4758</v>
      </c>
      <c r="Q152" s="7">
        <f ca="1">[1]!b_calc_curve_chinabond("1082",Q$1,$B152)</f>
        <v>2.4710999999999999</v>
      </c>
      <c r="R152" s="7">
        <f ca="1">[1]!b_calc_curve_chinabond("1082",R$1,$B152)</f>
        <v>2.4689000000000001</v>
      </c>
      <c r="S152" s="7">
        <f ca="1">[1]!b_calc_curve_chinabond("1082",S$1,$B152)</f>
        <v>0</v>
      </c>
      <c r="T152" s="7">
        <f ca="1">[1]!b_calc_curve_chinabond("1082",T$1,$B152)</f>
        <v>0</v>
      </c>
      <c r="U152" s="7">
        <f ca="1">[1]!b_calc_curve_chinabond("1082",U$1,$B152)</f>
        <v>2.4794999999999998</v>
      </c>
      <c r="V152" s="7">
        <f ca="1">[1]!b_calc_curve_chinabond("1082",V$1,$B152)</f>
        <v>2.4860000000000002</v>
      </c>
      <c r="W152" s="7">
        <f ca="1">[1]!b_calc_curve_chinabond("1082",W$1,$B152)</f>
        <v>2.4975000000000001</v>
      </c>
      <c r="X152" s="7">
        <f ca="1">[1]!b_calc_curve_chinabond("1082",X$1,$B152)</f>
        <v>2.5257999999999998</v>
      </c>
      <c r="Y152" s="7">
        <f ca="1">[1]!b_calc_curve_chinabond("1082",Y$1,$B152)</f>
        <v>2.5303</v>
      </c>
      <c r="Z152" s="7">
        <f ca="1">[1]!b_calc_curve_chinabond("1082",Z$1,$B152)</f>
        <v>0</v>
      </c>
      <c r="AA152" s="7">
        <f ca="1">[1]!b_calc_curve_chinabond("1082",AA$1,$B152)</f>
        <v>0</v>
      </c>
      <c r="AB152" s="7">
        <f ca="1">[1]!b_calc_curve_chinabond("1082",AB$1,$B152)</f>
        <v>2.5247000000000002</v>
      </c>
      <c r="AC152" s="7">
        <f ca="1">[1]!b_calc_curve_chinabond("1082",AC$1,$B152)</f>
        <v>2.5124</v>
      </c>
      <c r="AD152" s="7">
        <f ca="1">[1]!b_calc_curve_chinabond("1082",AD$1,$B152)</f>
        <v>2.4967999999999999</v>
      </c>
      <c r="AE152" s="7">
        <f ca="1">[1]!b_calc_curve_chinabond("1082",AE$1,$B152)</f>
        <v>2.4838</v>
      </c>
      <c r="AF152" s="7">
        <f ca="1">[1]!b_calc_curve_chinabond("1082",AF$1,$B152)</f>
        <v>0</v>
      </c>
      <c r="AG152" s="7">
        <f ca="1">[1]!b_calc_curve_chinabond("1082",AG$1,$B152)</f>
        <v>0</v>
      </c>
      <c r="AH152" s="7">
        <f ca="1">[1]!b_calc_curve_chinabond("1082",AH$1,$B152)</f>
        <v>0</v>
      </c>
      <c r="AI152" s="7">
        <f ca="1">[1]!b_calc_curve_chinabond("1082",AI$1,$B152)</f>
        <v>0</v>
      </c>
    </row>
    <row r="153" spans="1:35" ht="19.5" customHeight="1">
      <c r="A153" s="3" t="s">
        <v>153</v>
      </c>
      <c r="B153" s="4">
        <v>14.5</v>
      </c>
      <c r="C153" s="7">
        <f ca="1">[1]!b_calc_curve_chinabond("1082",C$1,$B153)</f>
        <v>2.5678000000000001</v>
      </c>
      <c r="D153" s="7">
        <f ca="1">[1]!b_calc_curve_chinabond("1082",D$1,$B153)</f>
        <v>2.5680999999999998</v>
      </c>
      <c r="E153" s="7">
        <f ca="1">[1]!b_calc_curve_chinabond("1082",E$1,$B153)</f>
        <v>0</v>
      </c>
      <c r="F153" s="7">
        <f ca="1">[1]!b_calc_curve_chinabond("1082",F$1,$B153)</f>
        <v>0</v>
      </c>
      <c r="G153" s="7">
        <f ca="1">[1]!b_calc_curve_chinabond("1082",G$1,$B153)</f>
        <v>2.5598999999999998</v>
      </c>
      <c r="H153" s="7">
        <f ca="1">[1]!b_calc_curve_chinabond("1082",H$1,$B153)</f>
        <v>2.5598999999999998</v>
      </c>
      <c r="I153" s="7">
        <f ca="1">[1]!b_calc_curve_chinabond("1082",I$1,$B153)</f>
        <v>2.5510000000000002</v>
      </c>
      <c r="J153" s="7">
        <f ca="1">[1]!b_calc_curve_chinabond("1082",J$1,$B153)</f>
        <v>2.5411999999999999</v>
      </c>
      <c r="K153" s="7">
        <f ca="1">[1]!b_calc_curve_chinabond("1082",K$1,$B153)</f>
        <v>2.5177</v>
      </c>
      <c r="L153" s="7">
        <f ca="1">[1]!b_calc_curve_chinabond("1082",L$1,$B153)</f>
        <v>0</v>
      </c>
      <c r="M153" s="7">
        <f ca="1">[1]!b_calc_curve_chinabond("1082",M$1,$B153)</f>
        <v>0</v>
      </c>
      <c r="N153" s="7">
        <f ca="1">[1]!b_calc_curve_chinabond("1082",N$1,$B153)</f>
        <v>2.5049000000000001</v>
      </c>
      <c r="O153" s="7">
        <f ca="1">[1]!b_calc_curve_chinabond("1082",O$1,$B153)</f>
        <v>2.4851000000000001</v>
      </c>
      <c r="P153" s="7">
        <f ca="1">[1]!b_calc_curve_chinabond("1082",P$1,$B153)</f>
        <v>2.4815</v>
      </c>
      <c r="Q153" s="7">
        <f ca="1">[1]!b_calc_curve_chinabond("1082",Q$1,$B153)</f>
        <v>2.4771000000000001</v>
      </c>
      <c r="R153" s="7">
        <f ca="1">[1]!b_calc_curve_chinabond("1082",R$1,$B153)</f>
        <v>2.4744000000000002</v>
      </c>
      <c r="S153" s="7">
        <f ca="1">[1]!b_calc_curve_chinabond("1082",S$1,$B153)</f>
        <v>0</v>
      </c>
      <c r="T153" s="7">
        <f ca="1">[1]!b_calc_curve_chinabond("1082",T$1,$B153)</f>
        <v>0</v>
      </c>
      <c r="U153" s="7">
        <f ca="1">[1]!b_calc_curve_chinabond("1082",U$1,$B153)</f>
        <v>2.4849999999999999</v>
      </c>
      <c r="V153" s="7">
        <f ca="1">[1]!b_calc_curve_chinabond("1082",V$1,$B153)</f>
        <v>2.4912999999999998</v>
      </c>
      <c r="W153" s="7">
        <f ca="1">[1]!b_calc_curve_chinabond("1082",W$1,$B153)</f>
        <v>2.5026000000000002</v>
      </c>
      <c r="X153" s="7">
        <f ca="1">[1]!b_calc_curve_chinabond("1082",X$1,$B153)</f>
        <v>2.5304000000000002</v>
      </c>
      <c r="Y153" s="7">
        <f ca="1">[1]!b_calc_curve_chinabond("1082",Y$1,$B153)</f>
        <v>2.5356000000000001</v>
      </c>
      <c r="Z153" s="7">
        <f ca="1">[1]!b_calc_curve_chinabond("1082",Z$1,$B153)</f>
        <v>0</v>
      </c>
      <c r="AA153" s="7">
        <f ca="1">[1]!b_calc_curve_chinabond("1082",AA$1,$B153)</f>
        <v>0</v>
      </c>
      <c r="AB153" s="7">
        <f ca="1">[1]!b_calc_curve_chinabond("1082",AB$1,$B153)</f>
        <v>2.5299999999999998</v>
      </c>
      <c r="AC153" s="7">
        <f ca="1">[1]!b_calc_curve_chinabond("1082",AC$1,$B153)</f>
        <v>2.5179999999999998</v>
      </c>
      <c r="AD153" s="7">
        <f ca="1">[1]!b_calc_curve_chinabond("1082",AD$1,$B153)</f>
        <v>2.5019999999999998</v>
      </c>
      <c r="AE153" s="7">
        <f ca="1">[1]!b_calc_curve_chinabond("1082",AE$1,$B153)</f>
        <v>2.4887000000000001</v>
      </c>
      <c r="AF153" s="7">
        <f ca="1">[1]!b_calc_curve_chinabond("1082",AF$1,$B153)</f>
        <v>0</v>
      </c>
      <c r="AG153" s="7">
        <f ca="1">[1]!b_calc_curve_chinabond("1082",AG$1,$B153)</f>
        <v>0</v>
      </c>
      <c r="AH153" s="7">
        <f ca="1">[1]!b_calc_curve_chinabond("1082",AH$1,$B153)</f>
        <v>0</v>
      </c>
      <c r="AI153" s="7">
        <f ca="1">[1]!b_calc_curve_chinabond("1082",AI$1,$B153)</f>
        <v>0</v>
      </c>
    </row>
    <row r="154" spans="1:35" ht="19.5" customHeight="1">
      <c r="A154" s="1" t="s">
        <v>154</v>
      </c>
      <c r="B154" s="2">
        <v>14.6</v>
      </c>
      <c r="C154" s="7">
        <f ca="1">[1]!b_calc_curve_chinabond("1082",C$1,$B154)</f>
        <v>2.5735000000000001</v>
      </c>
      <c r="D154" s="7">
        <f ca="1">[1]!b_calc_curve_chinabond("1082",D$1,$B154)</f>
        <v>2.5737000000000001</v>
      </c>
      <c r="E154" s="7">
        <f ca="1">[1]!b_calc_curve_chinabond("1082",E$1,$B154)</f>
        <v>0</v>
      </c>
      <c r="F154" s="7">
        <f ca="1">[1]!b_calc_curve_chinabond("1082",F$1,$B154)</f>
        <v>0</v>
      </c>
      <c r="G154" s="7">
        <f ca="1">[1]!b_calc_curve_chinabond("1082",G$1,$B154)</f>
        <v>2.5651999999999999</v>
      </c>
      <c r="H154" s="7">
        <f ca="1">[1]!b_calc_curve_chinabond("1082",H$1,$B154)</f>
        <v>2.5659000000000001</v>
      </c>
      <c r="I154" s="7">
        <f ca="1">[1]!b_calc_curve_chinabond("1082",I$1,$B154)</f>
        <v>2.5569999999999999</v>
      </c>
      <c r="J154" s="7">
        <f ca="1">[1]!b_calc_curve_chinabond("1082",J$1,$B154)</f>
        <v>2.5472000000000001</v>
      </c>
      <c r="K154" s="7">
        <f ca="1">[1]!b_calc_curve_chinabond("1082",K$1,$B154)</f>
        <v>2.5236999999999998</v>
      </c>
      <c r="L154" s="7">
        <f ca="1">[1]!b_calc_curve_chinabond("1082",L$1,$B154)</f>
        <v>0</v>
      </c>
      <c r="M154" s="7">
        <f ca="1">[1]!b_calc_curve_chinabond("1082",M$1,$B154)</f>
        <v>0</v>
      </c>
      <c r="N154" s="7">
        <f ca="1">[1]!b_calc_curve_chinabond("1082",N$1,$B154)</f>
        <v>2.5108000000000001</v>
      </c>
      <c r="O154" s="7">
        <f ca="1">[1]!b_calc_curve_chinabond("1082",O$1,$B154)</f>
        <v>2.4903</v>
      </c>
      <c r="P154" s="7">
        <f ca="1">[1]!b_calc_curve_chinabond("1082",P$1,$B154)</f>
        <v>2.4870999999999999</v>
      </c>
      <c r="Q154" s="7">
        <f ca="1">[1]!b_calc_curve_chinabond("1082",Q$1,$B154)</f>
        <v>2.4830000000000001</v>
      </c>
      <c r="R154" s="7">
        <f ca="1">[1]!b_calc_curve_chinabond("1082",R$1,$B154)</f>
        <v>2.4799000000000002</v>
      </c>
      <c r="S154" s="7">
        <f ca="1">[1]!b_calc_curve_chinabond("1082",S$1,$B154)</f>
        <v>0</v>
      </c>
      <c r="T154" s="7">
        <f ca="1">[1]!b_calc_curve_chinabond("1082",T$1,$B154)</f>
        <v>0</v>
      </c>
      <c r="U154" s="7">
        <f ca="1">[1]!b_calc_curve_chinabond("1082",U$1,$B154)</f>
        <v>2.4904999999999999</v>
      </c>
      <c r="V154" s="7">
        <f ca="1">[1]!b_calc_curve_chinabond("1082",V$1,$B154)</f>
        <v>2.4965000000000002</v>
      </c>
      <c r="W154" s="7">
        <f ca="1">[1]!b_calc_curve_chinabond("1082",W$1,$B154)</f>
        <v>2.5076999999999998</v>
      </c>
      <c r="X154" s="7">
        <f ca="1">[1]!b_calc_curve_chinabond("1082",X$1,$B154)</f>
        <v>2.5350000000000001</v>
      </c>
      <c r="Y154" s="7">
        <f ca="1">[1]!b_calc_curve_chinabond("1082",Y$1,$B154)</f>
        <v>2.5409000000000002</v>
      </c>
      <c r="Z154" s="7">
        <f ca="1">[1]!b_calc_curve_chinabond("1082",Z$1,$B154)</f>
        <v>0</v>
      </c>
      <c r="AA154" s="7">
        <f ca="1">[1]!b_calc_curve_chinabond("1082",AA$1,$B154)</f>
        <v>0</v>
      </c>
      <c r="AB154" s="7">
        <f ca="1">[1]!b_calc_curve_chinabond("1082",AB$1,$B154)</f>
        <v>2.5352000000000001</v>
      </c>
      <c r="AC154" s="7">
        <f ca="1">[1]!b_calc_curve_chinabond("1082",AC$1,$B154)</f>
        <v>2.5234999999999999</v>
      </c>
      <c r="AD154" s="7">
        <f ca="1">[1]!b_calc_curve_chinabond("1082",AD$1,$B154)</f>
        <v>2.5070999999999999</v>
      </c>
      <c r="AE154" s="7">
        <f ca="1">[1]!b_calc_curve_chinabond("1082",AE$1,$B154)</f>
        <v>2.4935</v>
      </c>
      <c r="AF154" s="7">
        <f ca="1">[1]!b_calc_curve_chinabond("1082",AF$1,$B154)</f>
        <v>0</v>
      </c>
      <c r="AG154" s="7">
        <f ca="1">[1]!b_calc_curve_chinabond("1082",AG$1,$B154)</f>
        <v>0</v>
      </c>
      <c r="AH154" s="7">
        <f ca="1">[1]!b_calc_curve_chinabond("1082",AH$1,$B154)</f>
        <v>0</v>
      </c>
      <c r="AI154" s="7">
        <f ca="1">[1]!b_calc_curve_chinabond("1082",AI$1,$B154)</f>
        <v>0</v>
      </c>
    </row>
    <row r="155" spans="1:35" ht="19.5" customHeight="1">
      <c r="A155" s="3" t="s">
        <v>155</v>
      </c>
      <c r="B155" s="4">
        <v>14.7</v>
      </c>
      <c r="C155" s="7">
        <f ca="1">[1]!b_calc_curve_chinabond("1082",C$1,$B155)</f>
        <v>2.5790999999999999</v>
      </c>
      <c r="D155" s="7">
        <f ca="1">[1]!b_calc_curve_chinabond("1082",D$1,$B155)</f>
        <v>2.5792999999999999</v>
      </c>
      <c r="E155" s="7">
        <f ca="1">[1]!b_calc_curve_chinabond("1082",E$1,$B155)</f>
        <v>0</v>
      </c>
      <c r="F155" s="7">
        <f ca="1">[1]!b_calc_curve_chinabond("1082",F$1,$B155)</f>
        <v>0</v>
      </c>
      <c r="G155" s="7">
        <f ca="1">[1]!b_calc_curve_chinabond("1082",G$1,$B155)</f>
        <v>2.5706000000000002</v>
      </c>
      <c r="H155" s="7">
        <f ca="1">[1]!b_calc_curve_chinabond("1082",H$1,$B155)</f>
        <v>2.5718000000000001</v>
      </c>
      <c r="I155" s="7">
        <f ca="1">[1]!b_calc_curve_chinabond("1082",I$1,$B155)</f>
        <v>2.5629</v>
      </c>
      <c r="J155" s="7">
        <f ca="1">[1]!b_calc_curve_chinabond("1082",J$1,$B155)</f>
        <v>2.5531000000000001</v>
      </c>
      <c r="K155" s="7">
        <f ca="1">[1]!b_calc_curve_chinabond("1082",K$1,$B155)</f>
        <v>2.5297000000000001</v>
      </c>
      <c r="L155" s="7">
        <f ca="1">[1]!b_calc_curve_chinabond("1082",L$1,$B155)</f>
        <v>0</v>
      </c>
      <c r="M155" s="7">
        <f ca="1">[1]!b_calc_curve_chinabond("1082",M$1,$B155)</f>
        <v>0</v>
      </c>
      <c r="N155" s="7">
        <f ca="1">[1]!b_calc_curve_chinabond("1082",N$1,$B155)</f>
        <v>2.5165999999999999</v>
      </c>
      <c r="O155" s="7">
        <f ca="1">[1]!b_calc_curve_chinabond("1082",O$1,$B155)</f>
        <v>2.4954000000000001</v>
      </c>
      <c r="P155" s="7">
        <f ca="1">[1]!b_calc_curve_chinabond("1082",P$1,$B155)</f>
        <v>2.4927000000000001</v>
      </c>
      <c r="Q155" s="7">
        <f ca="1">[1]!b_calc_curve_chinabond("1082",Q$1,$B155)</f>
        <v>2.4887999999999999</v>
      </c>
      <c r="R155" s="7">
        <f ca="1">[1]!b_calc_curve_chinabond("1082",R$1,$B155)</f>
        <v>2.4853000000000001</v>
      </c>
      <c r="S155" s="7">
        <f ca="1">[1]!b_calc_curve_chinabond("1082",S$1,$B155)</f>
        <v>0</v>
      </c>
      <c r="T155" s="7">
        <f ca="1">[1]!b_calc_curve_chinabond("1082",T$1,$B155)</f>
        <v>0</v>
      </c>
      <c r="U155" s="7">
        <f ca="1">[1]!b_calc_curve_chinabond("1082",U$1,$B155)</f>
        <v>2.496</v>
      </c>
      <c r="V155" s="7">
        <f ca="1">[1]!b_calc_curve_chinabond("1082",V$1,$B155)</f>
        <v>2.5017</v>
      </c>
      <c r="W155" s="7">
        <f ca="1">[1]!b_calc_curve_chinabond("1082",W$1,$B155)</f>
        <v>2.5127000000000002</v>
      </c>
      <c r="X155" s="7">
        <f ca="1">[1]!b_calc_curve_chinabond("1082",X$1,$B155)</f>
        <v>2.5396000000000001</v>
      </c>
      <c r="Y155" s="7">
        <f ca="1">[1]!b_calc_curve_chinabond("1082",Y$1,$B155)</f>
        <v>2.5461</v>
      </c>
      <c r="Z155" s="7">
        <f ca="1">[1]!b_calc_curve_chinabond("1082",Z$1,$B155)</f>
        <v>0</v>
      </c>
      <c r="AA155" s="7">
        <f ca="1">[1]!b_calc_curve_chinabond("1082",AA$1,$B155)</f>
        <v>0</v>
      </c>
      <c r="AB155" s="7">
        <f ca="1">[1]!b_calc_curve_chinabond("1082",AB$1,$B155)</f>
        <v>2.5402999999999998</v>
      </c>
      <c r="AC155" s="7">
        <f ca="1">[1]!b_calc_curve_chinabond("1082",AC$1,$B155)</f>
        <v>2.5289000000000001</v>
      </c>
      <c r="AD155" s="7">
        <f ca="1">[1]!b_calc_curve_chinabond("1082",AD$1,$B155)</f>
        <v>2.5122</v>
      </c>
      <c r="AE155" s="7">
        <f ca="1">[1]!b_calc_curve_chinabond("1082",AE$1,$B155)</f>
        <v>2.4983</v>
      </c>
      <c r="AF155" s="7">
        <f ca="1">[1]!b_calc_curve_chinabond("1082",AF$1,$B155)</f>
        <v>0</v>
      </c>
      <c r="AG155" s="7">
        <f ca="1">[1]!b_calc_curve_chinabond("1082",AG$1,$B155)</f>
        <v>0</v>
      </c>
      <c r="AH155" s="7">
        <f ca="1">[1]!b_calc_curve_chinabond("1082",AH$1,$B155)</f>
        <v>0</v>
      </c>
      <c r="AI155" s="7">
        <f ca="1">[1]!b_calc_curve_chinabond("1082",AI$1,$B155)</f>
        <v>0</v>
      </c>
    </row>
    <row r="156" spans="1:35" ht="19.5" customHeight="1">
      <c r="A156" s="1" t="s">
        <v>156</v>
      </c>
      <c r="B156" s="2">
        <v>14.8</v>
      </c>
      <c r="C156" s="7">
        <f ca="1">[1]!b_calc_curve_chinabond("1082",C$1,$B156)</f>
        <v>2.5847000000000002</v>
      </c>
      <c r="D156" s="7">
        <f ca="1">[1]!b_calc_curve_chinabond("1082",D$1,$B156)</f>
        <v>2.5848</v>
      </c>
      <c r="E156" s="7">
        <f ca="1">[1]!b_calc_curve_chinabond("1082",E$1,$B156)</f>
        <v>0</v>
      </c>
      <c r="F156" s="7">
        <f ca="1">[1]!b_calc_curve_chinabond("1082",F$1,$B156)</f>
        <v>0</v>
      </c>
      <c r="G156" s="7">
        <f ca="1">[1]!b_calc_curve_chinabond("1082",G$1,$B156)</f>
        <v>2.5758999999999999</v>
      </c>
      <c r="H156" s="7">
        <f ca="1">[1]!b_calc_curve_chinabond("1082",H$1,$B156)</f>
        <v>2.5777000000000001</v>
      </c>
      <c r="I156" s="7">
        <f ca="1">[1]!b_calc_curve_chinabond("1082",I$1,$B156)</f>
        <v>2.5687000000000002</v>
      </c>
      <c r="J156" s="7">
        <f ca="1">[1]!b_calc_curve_chinabond("1082",J$1,$B156)</f>
        <v>2.5590000000000002</v>
      </c>
      <c r="K156" s="7">
        <f ca="1">[1]!b_calc_curve_chinabond("1082",K$1,$B156)</f>
        <v>2.5354999999999999</v>
      </c>
      <c r="L156" s="7">
        <f ca="1">[1]!b_calc_curve_chinabond("1082",L$1,$B156)</f>
        <v>0</v>
      </c>
      <c r="M156" s="7">
        <f ca="1">[1]!b_calc_curve_chinabond("1082",M$1,$B156)</f>
        <v>0</v>
      </c>
      <c r="N156" s="7">
        <f ca="1">[1]!b_calc_curve_chinabond("1082",N$1,$B156)</f>
        <v>2.5222000000000002</v>
      </c>
      <c r="O156" s="7">
        <f ca="1">[1]!b_calc_curve_chinabond("1082",O$1,$B156)</f>
        <v>2.5005000000000002</v>
      </c>
      <c r="P156" s="7">
        <f ca="1">[1]!b_calc_curve_chinabond("1082",P$1,$B156)</f>
        <v>2.4981</v>
      </c>
      <c r="Q156" s="7">
        <f ca="1">[1]!b_calc_curve_chinabond("1082",Q$1,$B156)</f>
        <v>2.4944000000000002</v>
      </c>
      <c r="R156" s="7">
        <f ca="1">[1]!b_calc_curve_chinabond("1082",R$1,$B156)</f>
        <v>2.4906999999999999</v>
      </c>
      <c r="S156" s="7">
        <f ca="1">[1]!b_calc_curve_chinabond("1082",S$1,$B156)</f>
        <v>0</v>
      </c>
      <c r="T156" s="7">
        <f ca="1">[1]!b_calc_curve_chinabond("1082",T$1,$B156)</f>
        <v>0</v>
      </c>
      <c r="U156" s="7">
        <f ca="1">[1]!b_calc_curve_chinabond("1082",U$1,$B156)</f>
        <v>2.5013000000000001</v>
      </c>
      <c r="V156" s="7">
        <f ca="1">[1]!b_calc_curve_chinabond("1082",V$1,$B156)</f>
        <v>2.5068000000000001</v>
      </c>
      <c r="W156" s="7">
        <f ca="1">[1]!b_calc_curve_chinabond("1082",W$1,$B156)</f>
        <v>2.5177</v>
      </c>
      <c r="X156" s="7">
        <f ca="1">[1]!b_calc_curve_chinabond("1082",X$1,$B156)</f>
        <v>2.5442</v>
      </c>
      <c r="Y156" s="7">
        <f ca="1">[1]!b_calc_curve_chinabond("1082",Y$1,$B156)</f>
        <v>2.5512999999999999</v>
      </c>
      <c r="Z156" s="7">
        <f ca="1">[1]!b_calc_curve_chinabond("1082",Z$1,$B156)</f>
        <v>0</v>
      </c>
      <c r="AA156" s="7">
        <f ca="1">[1]!b_calc_curve_chinabond("1082",AA$1,$B156)</f>
        <v>0</v>
      </c>
      <c r="AB156" s="7">
        <f ca="1">[1]!b_calc_curve_chinabond("1082",AB$1,$B156)</f>
        <v>2.5453999999999999</v>
      </c>
      <c r="AC156" s="7">
        <f ca="1">[1]!b_calc_curve_chinabond("1082",AC$1,$B156)</f>
        <v>2.5341999999999998</v>
      </c>
      <c r="AD156" s="7">
        <f ca="1">[1]!b_calc_curve_chinabond("1082",AD$1,$B156)</f>
        <v>2.5171999999999999</v>
      </c>
      <c r="AE156" s="7">
        <f ca="1">[1]!b_calc_curve_chinabond("1082",AE$1,$B156)</f>
        <v>2.5030999999999999</v>
      </c>
      <c r="AF156" s="7">
        <f ca="1">[1]!b_calc_curve_chinabond("1082",AF$1,$B156)</f>
        <v>0</v>
      </c>
      <c r="AG156" s="7">
        <f ca="1">[1]!b_calc_curve_chinabond("1082",AG$1,$B156)</f>
        <v>0</v>
      </c>
      <c r="AH156" s="7">
        <f ca="1">[1]!b_calc_curve_chinabond("1082",AH$1,$B156)</f>
        <v>0</v>
      </c>
      <c r="AI156" s="7">
        <f ca="1">[1]!b_calc_curve_chinabond("1082",AI$1,$B156)</f>
        <v>0</v>
      </c>
    </row>
    <row r="157" spans="1:35" ht="19.5" customHeight="1">
      <c r="A157" s="3" t="s">
        <v>157</v>
      </c>
      <c r="B157" s="4">
        <v>14.9</v>
      </c>
      <c r="C157" s="7">
        <f ca="1">[1]!b_calc_curve_chinabond("1082",C$1,$B157)</f>
        <v>2.5901999999999998</v>
      </c>
      <c r="D157" s="7">
        <f ca="1">[1]!b_calc_curve_chinabond("1082",D$1,$B157)</f>
        <v>2.5901999999999998</v>
      </c>
      <c r="E157" s="7">
        <f ca="1">[1]!b_calc_curve_chinabond("1082",E$1,$B157)</f>
        <v>0</v>
      </c>
      <c r="F157" s="7">
        <f ca="1">[1]!b_calc_curve_chinabond("1082",F$1,$B157)</f>
        <v>0</v>
      </c>
      <c r="G157" s="7">
        <f ca="1">[1]!b_calc_curve_chinabond("1082",G$1,$B157)</f>
        <v>2.5811000000000002</v>
      </c>
      <c r="H157" s="7">
        <f ca="1">[1]!b_calc_curve_chinabond("1082",H$1,$B157)</f>
        <v>2.5834999999999999</v>
      </c>
      <c r="I157" s="7">
        <f ca="1">[1]!b_calc_curve_chinabond("1082",I$1,$B157)</f>
        <v>2.5743999999999998</v>
      </c>
      <c r="J157" s="7">
        <f ca="1">[1]!b_calc_curve_chinabond("1082",J$1,$B157)</f>
        <v>2.5647000000000002</v>
      </c>
      <c r="K157" s="7">
        <f ca="1">[1]!b_calc_curve_chinabond("1082",K$1,$B157)</f>
        <v>2.5411999999999999</v>
      </c>
      <c r="L157" s="7">
        <f ca="1">[1]!b_calc_curve_chinabond("1082",L$1,$B157)</f>
        <v>0</v>
      </c>
      <c r="M157" s="7">
        <f ca="1">[1]!b_calc_curve_chinabond("1082",M$1,$B157)</f>
        <v>0</v>
      </c>
      <c r="N157" s="7">
        <f ca="1">[1]!b_calc_curve_chinabond("1082",N$1,$B157)</f>
        <v>2.5278</v>
      </c>
      <c r="O157" s="7">
        <f ca="1">[1]!b_calc_curve_chinabond("1082",O$1,$B157)</f>
        <v>2.5055999999999998</v>
      </c>
      <c r="P157" s="7">
        <f ca="1">[1]!b_calc_curve_chinabond("1082",P$1,$B157)</f>
        <v>2.5034000000000001</v>
      </c>
      <c r="Q157" s="7">
        <f ca="1">[1]!b_calc_curve_chinabond("1082",Q$1,$B157)</f>
        <v>2.4998999999999998</v>
      </c>
      <c r="R157" s="7">
        <f ca="1">[1]!b_calc_curve_chinabond("1082",R$1,$B157)</f>
        <v>2.496</v>
      </c>
      <c r="S157" s="7">
        <f ca="1">[1]!b_calc_curve_chinabond("1082",S$1,$B157)</f>
        <v>0</v>
      </c>
      <c r="T157" s="7">
        <f ca="1">[1]!b_calc_curve_chinabond("1082",T$1,$B157)</f>
        <v>0</v>
      </c>
      <c r="U157" s="7">
        <f ca="1">[1]!b_calc_curve_chinabond("1082",U$1,$B157)</f>
        <v>2.5066999999999999</v>
      </c>
      <c r="V157" s="7">
        <f ca="1">[1]!b_calc_curve_chinabond("1082",V$1,$B157)</f>
        <v>2.5118</v>
      </c>
      <c r="W157" s="7">
        <f ca="1">[1]!b_calc_curve_chinabond("1082",W$1,$B157)</f>
        <v>2.5225</v>
      </c>
      <c r="X157" s="7">
        <f ca="1">[1]!b_calc_curve_chinabond("1082",X$1,$B157)</f>
        <v>2.5489000000000002</v>
      </c>
      <c r="Y157" s="7">
        <f ca="1">[1]!b_calc_curve_chinabond("1082",Y$1,$B157)</f>
        <v>2.5562999999999998</v>
      </c>
      <c r="Z157" s="7">
        <f ca="1">[1]!b_calc_curve_chinabond("1082",Z$1,$B157)</f>
        <v>0</v>
      </c>
      <c r="AA157" s="7">
        <f ca="1">[1]!b_calc_curve_chinabond("1082",AA$1,$B157)</f>
        <v>0</v>
      </c>
      <c r="AB157" s="7">
        <f ca="1">[1]!b_calc_curve_chinabond("1082",AB$1,$B157)</f>
        <v>2.5503</v>
      </c>
      <c r="AC157" s="7">
        <f ca="1">[1]!b_calc_curve_chinabond("1082",AC$1,$B157)</f>
        <v>2.5394000000000001</v>
      </c>
      <c r="AD157" s="7">
        <f ca="1">[1]!b_calc_curve_chinabond("1082",AD$1,$B157)</f>
        <v>2.5221</v>
      </c>
      <c r="AE157" s="7">
        <f ca="1">[1]!b_calc_curve_chinabond("1082",AE$1,$B157)</f>
        <v>2.5078</v>
      </c>
      <c r="AF157" s="7">
        <f ca="1">[1]!b_calc_curve_chinabond("1082",AF$1,$B157)</f>
        <v>0</v>
      </c>
      <c r="AG157" s="7">
        <f ca="1">[1]!b_calc_curve_chinabond("1082",AG$1,$B157)</f>
        <v>0</v>
      </c>
      <c r="AH157" s="7">
        <f ca="1">[1]!b_calc_curve_chinabond("1082",AH$1,$B157)</f>
        <v>0</v>
      </c>
      <c r="AI157" s="7">
        <f ca="1">[1]!b_calc_curve_chinabond("1082",AI$1,$B157)</f>
        <v>0</v>
      </c>
    </row>
    <row r="158" spans="1:35" ht="19.5" customHeight="1">
      <c r="A158" s="1" t="s">
        <v>158</v>
      </c>
      <c r="B158" s="2">
        <v>15</v>
      </c>
      <c r="C158" s="7">
        <f ca="1">[1]!b_calc_curve_chinabond("1082",C$1,$B158)</f>
        <v>2.5956000000000001</v>
      </c>
      <c r="D158" s="7">
        <f ca="1">[1]!b_calc_curve_chinabond("1082",D$1,$B158)</f>
        <v>2.5956000000000001</v>
      </c>
      <c r="E158" s="7">
        <f ca="1">[1]!b_calc_curve_chinabond("1082",E$1,$B158)</f>
        <v>0</v>
      </c>
      <c r="F158" s="7">
        <f ca="1">[1]!b_calc_curve_chinabond("1082",F$1,$B158)</f>
        <v>0</v>
      </c>
      <c r="G158" s="7">
        <f ca="1">[1]!b_calc_curve_chinabond("1082",G$1,$B158)</f>
        <v>2.5863999999999998</v>
      </c>
      <c r="H158" s="7">
        <f ca="1">[1]!b_calc_curve_chinabond("1082",H$1,$B158)</f>
        <v>2.5891999999999999</v>
      </c>
      <c r="I158" s="7">
        <f ca="1">[1]!b_calc_curve_chinabond("1082",I$1,$B158)</f>
        <v>2.5800999999999998</v>
      </c>
      <c r="J158" s="7">
        <f ca="1">[1]!b_calc_curve_chinabond("1082",J$1,$B158)</f>
        <v>2.5703999999999998</v>
      </c>
      <c r="K158" s="7">
        <f ca="1">[1]!b_calc_curve_chinabond("1082",K$1,$B158)</f>
        <v>2.5468000000000002</v>
      </c>
      <c r="L158" s="7">
        <f ca="1">[1]!b_calc_curve_chinabond("1082",L$1,$B158)</f>
        <v>0</v>
      </c>
      <c r="M158" s="7">
        <f ca="1">[1]!b_calc_curve_chinabond("1082",M$1,$B158)</f>
        <v>0</v>
      </c>
      <c r="N158" s="7">
        <f ca="1">[1]!b_calc_curve_chinabond("1082",N$1,$B158)</f>
        <v>2.5331999999999999</v>
      </c>
      <c r="O158" s="7">
        <f ca="1">[1]!b_calc_curve_chinabond("1082",O$1,$B158)</f>
        <v>2.5106000000000002</v>
      </c>
      <c r="P158" s="7">
        <f ca="1">[1]!b_calc_curve_chinabond("1082",P$1,$B158)</f>
        <v>2.5087000000000002</v>
      </c>
      <c r="Q158" s="7">
        <f ca="1">[1]!b_calc_curve_chinabond("1082",Q$1,$B158)</f>
        <v>2.5053000000000001</v>
      </c>
      <c r="R158" s="7">
        <f ca="1">[1]!b_calc_curve_chinabond("1082",R$1,$B158)</f>
        <v>2.5011999999999999</v>
      </c>
      <c r="S158" s="7">
        <f ca="1">[1]!b_calc_curve_chinabond("1082",S$1,$B158)</f>
        <v>0</v>
      </c>
      <c r="T158" s="7">
        <f ca="1">[1]!b_calc_curve_chinabond("1082",T$1,$B158)</f>
        <v>0</v>
      </c>
      <c r="U158" s="7">
        <f ca="1">[1]!b_calc_curve_chinabond("1082",U$1,$B158)</f>
        <v>2.5118999999999998</v>
      </c>
      <c r="V158" s="7">
        <f ca="1">[1]!b_calc_curve_chinabond("1082",V$1,$B158)</f>
        <v>2.5167999999999999</v>
      </c>
      <c r="W158" s="7">
        <f ca="1">[1]!b_calc_curve_chinabond("1082",W$1,$B158)</f>
        <v>2.5272999999999999</v>
      </c>
      <c r="X158" s="7">
        <f ca="1">[1]!b_calc_curve_chinabond("1082",X$1,$B158)</f>
        <v>2.5535000000000001</v>
      </c>
      <c r="Y158" s="7">
        <f ca="1">[1]!b_calc_curve_chinabond("1082",Y$1,$B158)</f>
        <v>2.5613000000000001</v>
      </c>
      <c r="Z158" s="7">
        <f ca="1">[1]!b_calc_curve_chinabond("1082",Z$1,$B158)</f>
        <v>0</v>
      </c>
      <c r="AA158" s="7">
        <f ca="1">[1]!b_calc_curve_chinabond("1082",AA$1,$B158)</f>
        <v>0</v>
      </c>
      <c r="AB158" s="7">
        <f ca="1">[1]!b_calc_curve_chinabond("1082",AB$1,$B158)</f>
        <v>2.5552000000000001</v>
      </c>
      <c r="AC158" s="7">
        <f ca="1">[1]!b_calc_curve_chinabond("1082",AC$1,$B158)</f>
        <v>2.5444</v>
      </c>
      <c r="AD158" s="7">
        <f ca="1">[1]!b_calc_curve_chinabond("1082",AD$1,$B158)</f>
        <v>2.5268999999999999</v>
      </c>
      <c r="AE158" s="7">
        <f ca="1">[1]!b_calc_curve_chinabond("1082",AE$1,$B158)</f>
        <v>2.5125000000000002</v>
      </c>
      <c r="AF158" s="7">
        <f ca="1">[1]!b_calc_curve_chinabond("1082",AF$1,$B158)</f>
        <v>0</v>
      </c>
      <c r="AG158" s="7">
        <f ca="1">[1]!b_calc_curve_chinabond("1082",AG$1,$B158)</f>
        <v>0</v>
      </c>
      <c r="AH158" s="7">
        <f ca="1">[1]!b_calc_curve_chinabond("1082",AH$1,$B158)</f>
        <v>0</v>
      </c>
      <c r="AI158" s="7">
        <f ca="1">[1]!b_calc_curve_chinabond("1082",AI$1,$B158)</f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期限结构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文俊 董</cp:lastModifiedBy>
  <dcterms:modified xsi:type="dcterms:W3CDTF">2026-06-22T02:06:52Z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A1A728B4-52A4-4A9F-8DB8-83CF33F61705</vt:lpwstr>
  </property>
</Properties>
</file>