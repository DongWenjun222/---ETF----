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相关_杂杂杂\科创债ETF曲线构建\"/>
    </mc:Choice>
  </mc:AlternateContent>
  <xr:revisionPtr revIDLastSave="0" documentId="13_ncr:1_{C7CD68FF-C0FD-45BB-9D8B-B5E3BB08D9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期限结构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P44" i="1"/>
  <c r="N153" i="1"/>
  <c r="AD118" i="1"/>
  <c r="S12" i="1"/>
  <c r="M115" i="1"/>
  <c r="M39" i="1"/>
  <c r="D35" i="1"/>
  <c r="AF101" i="1"/>
  <c r="E138" i="1"/>
  <c r="Z107" i="1"/>
  <c r="X17" i="1"/>
  <c r="N34" i="1"/>
  <c r="AD30" i="1"/>
  <c r="P101" i="1"/>
  <c r="O62" i="1"/>
  <c r="D4" i="1"/>
  <c r="AD111" i="1"/>
  <c r="H28" i="1"/>
  <c r="V121" i="1"/>
  <c r="O132" i="1"/>
  <c r="P34" i="1"/>
  <c r="C70" i="1"/>
  <c r="K47" i="1"/>
  <c r="K132" i="1"/>
  <c r="W60" i="1"/>
  <c r="J96" i="1"/>
  <c r="H75" i="1"/>
  <c r="X148" i="1"/>
  <c r="Z157" i="1"/>
  <c r="I79" i="1"/>
  <c r="X146" i="1"/>
  <c r="Q6" i="1"/>
  <c r="AH39" i="1"/>
  <c r="N7" i="1"/>
  <c r="I143" i="1"/>
  <c r="M102" i="1"/>
  <c r="U66" i="1"/>
  <c r="H134" i="1"/>
  <c r="AG158" i="1"/>
  <c r="L48" i="1"/>
  <c r="F25" i="1"/>
  <c r="H89" i="1"/>
  <c r="AA140" i="1"/>
  <c r="AG126" i="1"/>
  <c r="J113" i="1"/>
  <c r="P130" i="1"/>
  <c r="S35" i="1"/>
  <c r="Q139" i="1"/>
  <c r="W157" i="1"/>
  <c r="AG46" i="1"/>
  <c r="AH138" i="1"/>
  <c r="AB7" i="1"/>
  <c r="F147" i="1"/>
  <c r="J121" i="1"/>
  <c r="K140" i="1"/>
  <c r="F156" i="1"/>
  <c r="D56" i="1"/>
  <c r="E61" i="1"/>
  <c r="W21" i="1"/>
  <c r="AG28" i="1"/>
  <c r="AD82" i="1"/>
  <c r="X152" i="1"/>
  <c r="L111" i="1"/>
  <c r="L92" i="1"/>
  <c r="E78" i="1"/>
  <c r="O131" i="1"/>
  <c r="AA15" i="1"/>
  <c r="L144" i="1"/>
  <c r="C138" i="1"/>
  <c r="W5" i="1"/>
  <c r="E155" i="1"/>
  <c r="AG132" i="1"/>
  <c r="AG119" i="1"/>
  <c r="AC10" i="1"/>
  <c r="AE14" i="1"/>
  <c r="V55" i="1"/>
  <c r="S139" i="1"/>
  <c r="V29" i="1"/>
  <c r="K19" i="1"/>
  <c r="I78" i="1"/>
  <c r="Y10" i="1"/>
  <c r="L29" i="1"/>
  <c r="AB31" i="1"/>
  <c r="N155" i="1"/>
  <c r="AI130" i="1"/>
  <c r="Y153" i="1"/>
  <c r="P118" i="1"/>
  <c r="F86" i="1"/>
  <c r="T70" i="1"/>
  <c r="Q59" i="1"/>
  <c r="AF158" i="1"/>
  <c r="U144" i="1"/>
  <c r="AH11" i="1"/>
  <c r="AI10" i="1"/>
  <c r="E45" i="1"/>
  <c r="X89" i="1"/>
  <c r="E53" i="1"/>
  <c r="K31" i="1"/>
  <c r="W69" i="1"/>
  <c r="F17" i="1"/>
  <c r="AC105" i="1"/>
  <c r="AC137" i="1"/>
  <c r="V2" i="1"/>
  <c r="J128" i="1"/>
  <c r="AD130" i="1"/>
  <c r="G104" i="1"/>
  <c r="N148" i="1"/>
  <c r="AA26" i="1"/>
  <c r="K15" i="1"/>
  <c r="C31" i="1"/>
  <c r="AG141" i="1"/>
  <c r="C100" i="1"/>
  <c r="AB34" i="1"/>
  <c r="R11" i="1"/>
  <c r="Z44" i="1"/>
  <c r="Q123" i="1"/>
  <c r="F60" i="1"/>
  <c r="M79" i="1"/>
  <c r="K37" i="1"/>
  <c r="F110" i="1"/>
  <c r="AC56" i="1"/>
  <c r="S61" i="1"/>
  <c r="V79" i="1"/>
  <c r="Y105" i="1"/>
  <c r="D72" i="1"/>
  <c r="P140" i="1"/>
  <c r="M130" i="1"/>
  <c r="F143" i="1"/>
  <c r="AI5" i="1"/>
  <c r="I96" i="1"/>
  <c r="AG4" i="1"/>
  <c r="Q93" i="1"/>
  <c r="AD52" i="1"/>
  <c r="Z48" i="1"/>
  <c r="G2" i="1"/>
  <c r="AB128" i="1"/>
  <c r="G110" i="1"/>
  <c r="R69" i="1"/>
  <c r="AB24" i="1"/>
  <c r="AF110" i="1"/>
  <c r="H80" i="1"/>
  <c r="Q80" i="1"/>
  <c r="AD5" i="1"/>
  <c r="V119" i="1"/>
  <c r="AF9" i="1"/>
  <c r="U27" i="1"/>
  <c r="Q99" i="1"/>
  <c r="G134" i="1"/>
  <c r="H55" i="1"/>
  <c r="S121" i="1"/>
  <c r="AF80" i="1"/>
  <c r="D154" i="1"/>
  <c r="M59" i="1"/>
  <c r="M15" i="1"/>
  <c r="N30" i="1"/>
  <c r="O91" i="1"/>
  <c r="P15" i="1"/>
  <c r="N144" i="1"/>
  <c r="G50" i="1"/>
  <c r="X121" i="1"/>
  <c r="AG115" i="1"/>
  <c r="R62" i="1"/>
  <c r="C127" i="1"/>
  <c r="E134" i="1"/>
  <c r="T73" i="1"/>
  <c r="AC3" i="1"/>
  <c r="Z68" i="1"/>
  <c r="Q129" i="1"/>
  <c r="Q32" i="1"/>
  <c r="S70" i="1"/>
  <c r="AB107" i="1"/>
  <c r="O24" i="1"/>
  <c r="AD139" i="1"/>
  <c r="D104" i="1"/>
  <c r="Q55" i="1"/>
  <c r="AB43" i="1"/>
  <c r="AG69" i="1"/>
  <c r="Y142" i="1"/>
  <c r="I154" i="1"/>
  <c r="M97" i="1"/>
  <c r="F107" i="1"/>
  <c r="AI138" i="1"/>
  <c r="Z147" i="1"/>
  <c r="AA80" i="1"/>
  <c r="K11" i="1"/>
  <c r="V132" i="1"/>
  <c r="AA92" i="1"/>
  <c r="K156" i="1"/>
  <c r="J21" i="1"/>
  <c r="AD20" i="1"/>
  <c r="AE7" i="1"/>
  <c r="T50" i="1"/>
  <c r="G155" i="1"/>
  <c r="H101" i="1"/>
  <c r="X111" i="1"/>
  <c r="Q144" i="1"/>
  <c r="K141" i="1"/>
  <c r="AB14" i="1"/>
  <c r="AI96" i="1"/>
  <c r="G120" i="1"/>
  <c r="H44" i="1"/>
  <c r="F55" i="1"/>
  <c r="Y138" i="1"/>
  <c r="H148" i="1"/>
  <c r="Q147" i="1"/>
  <c r="AB110" i="1"/>
  <c r="C53" i="1"/>
  <c r="AI13" i="1"/>
  <c r="F49" i="1"/>
  <c r="AG92" i="1"/>
  <c r="H83" i="1"/>
  <c r="N17" i="1"/>
  <c r="AF106" i="1"/>
  <c r="AH129" i="1"/>
  <c r="W39" i="1"/>
  <c r="AA133" i="1"/>
  <c r="AD54" i="1"/>
  <c r="C147" i="1"/>
  <c r="O145" i="1"/>
  <c r="G77" i="1"/>
  <c r="F20" i="1"/>
  <c r="V74" i="1"/>
  <c r="W56" i="1"/>
  <c r="AC147" i="1"/>
  <c r="E32" i="1"/>
  <c r="Q81" i="1"/>
  <c r="Y98" i="1"/>
  <c r="AA31" i="1"/>
  <c r="R126" i="1"/>
  <c r="X48" i="1"/>
  <c r="AC29" i="1"/>
  <c r="AE92" i="1"/>
  <c r="T9" i="1"/>
  <c r="K99" i="1"/>
  <c r="AH132" i="1"/>
  <c r="L4" i="1"/>
  <c r="Y106" i="1"/>
  <c r="AH33" i="1"/>
  <c r="AH94" i="1"/>
  <c r="D79" i="1"/>
  <c r="I112" i="1"/>
  <c r="K74" i="1"/>
  <c r="G32" i="1"/>
  <c r="R96" i="1"/>
  <c r="AH120" i="1"/>
  <c r="N27" i="1"/>
  <c r="E149" i="1"/>
  <c r="AB52" i="1"/>
  <c r="E82" i="1"/>
  <c r="I68" i="1"/>
  <c r="S91" i="1"/>
  <c r="AA119" i="1"/>
  <c r="E124" i="1"/>
  <c r="E120" i="1"/>
  <c r="Z11" i="1"/>
  <c r="W27" i="1"/>
  <c r="AD69" i="1"/>
  <c r="M144" i="1"/>
  <c r="AE61" i="1"/>
  <c r="D52" i="1"/>
  <c r="S115" i="1"/>
  <c r="H76" i="1"/>
  <c r="K135" i="1"/>
  <c r="V48" i="1"/>
  <c r="G119" i="1"/>
  <c r="O144" i="1"/>
  <c r="W45" i="1"/>
  <c r="Q54" i="1"/>
  <c r="T103" i="1"/>
  <c r="P64" i="1"/>
  <c r="AG68" i="1"/>
  <c r="AA56" i="1"/>
  <c r="T44" i="1"/>
  <c r="C82" i="1"/>
  <c r="AH84" i="1"/>
  <c r="V129" i="1"/>
  <c r="X135" i="1"/>
  <c r="L65" i="1"/>
  <c r="AB33" i="1"/>
  <c r="AC77" i="1"/>
  <c r="G41" i="1"/>
  <c r="P119" i="1"/>
  <c r="AG90" i="1"/>
  <c r="C10" i="1"/>
  <c r="AG33" i="1"/>
  <c r="R23" i="1"/>
  <c r="AD150" i="1"/>
  <c r="R145" i="1"/>
  <c r="H37" i="1"/>
  <c r="AA157" i="1"/>
  <c r="AB151" i="1"/>
  <c r="E27" i="1"/>
  <c r="R112" i="1"/>
  <c r="X34" i="1"/>
  <c r="L39" i="1"/>
  <c r="U57" i="1"/>
  <c r="AA19" i="1"/>
  <c r="X45" i="1"/>
  <c r="AC80" i="1"/>
  <c r="E58" i="1"/>
  <c r="V110" i="1"/>
  <c r="M124" i="1"/>
  <c r="R30" i="1"/>
  <c r="X96" i="1"/>
  <c r="G4" i="1"/>
  <c r="AI66" i="1"/>
  <c r="K71" i="1"/>
  <c r="C12" i="1"/>
  <c r="G85" i="1"/>
  <c r="M142" i="1"/>
  <c r="Y141" i="1"/>
  <c r="K25" i="1"/>
  <c r="O32" i="1"/>
  <c r="K101" i="1"/>
  <c r="L146" i="1"/>
  <c r="L85" i="1"/>
  <c r="F89" i="1"/>
  <c r="Y50" i="1"/>
  <c r="W116" i="1"/>
  <c r="R9" i="1"/>
  <c r="AI131" i="1"/>
  <c r="J100" i="1"/>
  <c r="O67" i="1"/>
  <c r="AI125" i="1"/>
  <c r="J47" i="1"/>
  <c r="Y16" i="1"/>
  <c r="N131" i="1"/>
  <c r="U119" i="1"/>
  <c r="Y34" i="1"/>
  <c r="G46" i="1"/>
  <c r="N157" i="1"/>
  <c r="AG79" i="1"/>
  <c r="AE114" i="1"/>
  <c r="O36" i="1"/>
  <c r="V50" i="1"/>
  <c r="S23" i="1"/>
  <c r="R115" i="1"/>
  <c r="Q114" i="1"/>
  <c r="H8" i="1"/>
  <c r="S88" i="1"/>
  <c r="AG99" i="1"/>
  <c r="O65" i="1"/>
  <c r="D37" i="1"/>
  <c r="S145" i="1"/>
  <c r="T139" i="1"/>
  <c r="K9" i="1"/>
  <c r="Z23" i="1"/>
  <c r="F56" i="1"/>
  <c r="C21" i="1"/>
  <c r="AB10" i="1"/>
  <c r="AE141" i="1"/>
  <c r="F22" i="1"/>
  <c r="C148" i="1"/>
  <c r="V89" i="1"/>
  <c r="P61" i="1"/>
  <c r="F3" i="1"/>
  <c r="S102" i="1"/>
  <c r="AC33" i="1"/>
  <c r="C44" i="1"/>
  <c r="E10" i="1"/>
  <c r="Y20" i="1"/>
  <c r="C71" i="1"/>
  <c r="Z5" i="1"/>
  <c r="AD119" i="1"/>
  <c r="AE131" i="1"/>
  <c r="L108" i="1"/>
  <c r="AA90" i="1"/>
  <c r="Z152" i="1"/>
  <c r="W73" i="1"/>
  <c r="AE100" i="1"/>
  <c r="T122" i="1"/>
  <c r="G33" i="1"/>
  <c r="Y14" i="1"/>
  <c r="AB115" i="1"/>
  <c r="D152" i="1"/>
  <c r="O33" i="1"/>
  <c r="C88" i="1"/>
  <c r="O46" i="1"/>
  <c r="AI148" i="1"/>
  <c r="Q40" i="1"/>
  <c r="W96" i="1"/>
  <c r="AC62" i="1"/>
  <c r="U135" i="1"/>
  <c r="Q31" i="1"/>
  <c r="M143" i="1"/>
  <c r="AC13" i="1"/>
  <c r="J135" i="1"/>
  <c r="Y62" i="1"/>
  <c r="O128" i="1"/>
  <c r="G132" i="1"/>
  <c r="P86" i="1"/>
  <c r="E4" i="1"/>
  <c r="P83" i="1"/>
  <c r="Z51" i="1"/>
  <c r="AI73" i="1"/>
  <c r="S98" i="1"/>
  <c r="AG120" i="1"/>
  <c r="AF51" i="1"/>
  <c r="T67" i="1"/>
  <c r="C106" i="1"/>
  <c r="Z25" i="1"/>
  <c r="F44" i="1"/>
  <c r="AG138" i="1"/>
  <c r="T153" i="1"/>
  <c r="AB51" i="1"/>
  <c r="AE48" i="1"/>
  <c r="R111" i="1"/>
  <c r="G91" i="1"/>
  <c r="AG114" i="1"/>
  <c r="C109" i="1"/>
  <c r="AD148" i="1"/>
  <c r="Z75" i="1"/>
  <c r="V39" i="1"/>
  <c r="V138" i="1"/>
  <c r="AG81" i="1"/>
  <c r="V21" i="1"/>
  <c r="I85" i="1"/>
  <c r="K109" i="1"/>
  <c r="S22" i="1"/>
  <c r="T156" i="1"/>
  <c r="AB54" i="1"/>
  <c r="X40" i="1"/>
  <c r="AH154" i="1"/>
  <c r="G3" i="1"/>
  <c r="P88" i="1"/>
  <c r="AB121" i="1"/>
  <c r="AA57" i="1"/>
  <c r="AA9" i="1"/>
  <c r="W47" i="1"/>
  <c r="AI31" i="1"/>
  <c r="W3" i="1"/>
  <c r="I37" i="1"/>
  <c r="T83" i="1"/>
  <c r="J4" i="1"/>
  <c r="O157" i="1"/>
  <c r="L134" i="1"/>
  <c r="J108" i="1"/>
  <c r="I104" i="1"/>
  <c r="G151" i="1"/>
  <c r="AH65" i="1"/>
  <c r="P21" i="1"/>
  <c r="I23" i="1"/>
  <c r="AB108" i="1"/>
  <c r="H22" i="1"/>
  <c r="U25" i="1"/>
  <c r="Q17" i="1"/>
  <c r="Z64" i="1"/>
  <c r="AD24" i="1"/>
  <c r="Y85" i="1"/>
  <c r="AD105" i="1"/>
  <c r="C154" i="1"/>
  <c r="J147" i="1"/>
  <c r="AH6" i="1"/>
  <c r="E66" i="1"/>
  <c r="Q128" i="1"/>
  <c r="T112" i="1"/>
  <c r="G138" i="1"/>
  <c r="R10" i="1"/>
  <c r="T14" i="1"/>
  <c r="D32" i="1"/>
  <c r="G158" i="1"/>
  <c r="AD129" i="1"/>
  <c r="AA138" i="1"/>
  <c r="AG154" i="1"/>
  <c r="V155" i="1"/>
  <c r="X144" i="1"/>
  <c r="AF39" i="1"/>
  <c r="AA71" i="1"/>
  <c r="AE101" i="1"/>
  <c r="U8" i="1"/>
  <c r="C64" i="1"/>
  <c r="AF91" i="1"/>
  <c r="S68" i="1"/>
  <c r="C113" i="1"/>
  <c r="W156" i="1"/>
  <c r="H27" i="1"/>
  <c r="M120" i="1"/>
  <c r="AH36" i="1"/>
  <c r="O82" i="1"/>
  <c r="I36" i="1"/>
  <c r="AD31" i="1"/>
  <c r="M118" i="1"/>
  <c r="AB64" i="1"/>
  <c r="N41" i="1"/>
  <c r="D71" i="1"/>
  <c r="AE117" i="1"/>
  <c r="AH110" i="1"/>
  <c r="W111" i="1"/>
  <c r="J16" i="1"/>
  <c r="L112" i="1"/>
  <c r="X156" i="1"/>
  <c r="I71" i="1"/>
  <c r="Z39" i="1"/>
  <c r="F10" i="1"/>
  <c r="AH14" i="1"/>
  <c r="T106" i="1"/>
  <c r="P89" i="1"/>
  <c r="C41" i="1"/>
  <c r="N15" i="1"/>
  <c r="T25" i="1"/>
  <c r="AH2" i="1"/>
  <c r="AB126" i="1"/>
  <c r="AA113" i="1"/>
  <c r="C94" i="1"/>
  <c r="X68" i="1"/>
  <c r="W120" i="1"/>
  <c r="F144" i="1"/>
  <c r="AA66" i="1"/>
  <c r="V32" i="1"/>
  <c r="AC107" i="1"/>
  <c r="T131" i="1"/>
  <c r="Z35" i="1"/>
  <c r="T144" i="1"/>
  <c r="G106" i="1"/>
  <c r="AE70" i="1"/>
  <c r="AI61" i="1"/>
  <c r="J126" i="1"/>
  <c r="H39" i="1"/>
  <c r="AH71" i="1"/>
  <c r="AH103" i="1"/>
  <c r="L117" i="1"/>
  <c r="AC32" i="1"/>
  <c r="L49" i="1"/>
  <c r="F77" i="1"/>
  <c r="Q34" i="1"/>
  <c r="H73" i="1"/>
  <c r="AH133" i="1"/>
  <c r="U128" i="1"/>
  <c r="M22" i="1"/>
  <c r="AG36" i="1"/>
  <c r="AD101" i="1"/>
  <c r="K60" i="1"/>
  <c r="Y9" i="1"/>
  <c r="AH101" i="1"/>
  <c r="Q122" i="1"/>
  <c r="I142" i="1"/>
  <c r="N78" i="1"/>
  <c r="W150" i="1"/>
  <c r="AD85" i="1"/>
  <c r="T31" i="1"/>
  <c r="AA2" i="1"/>
  <c r="Z56" i="1"/>
  <c r="N130" i="1"/>
  <c r="S82" i="1"/>
  <c r="K53" i="1"/>
  <c r="M73" i="1"/>
  <c r="AA27" i="1"/>
  <c r="I14" i="1"/>
  <c r="I140" i="1"/>
  <c r="Y33" i="1"/>
  <c r="AB102" i="1"/>
  <c r="W146" i="1"/>
  <c r="AE116" i="1"/>
  <c r="K110" i="1"/>
  <c r="N113" i="1"/>
  <c r="P123" i="1"/>
  <c r="AA74" i="1"/>
  <c r="E157" i="1"/>
  <c r="AG41" i="1"/>
  <c r="N74" i="1"/>
  <c r="W37" i="1"/>
  <c r="X28" i="1"/>
  <c r="AF76" i="1"/>
  <c r="AF133" i="1"/>
  <c r="E86" i="1"/>
  <c r="AA144" i="1"/>
  <c r="R17" i="1"/>
  <c r="J66" i="1"/>
  <c r="P153" i="1"/>
  <c r="AF109" i="1"/>
  <c r="Z91" i="1"/>
  <c r="S124" i="1"/>
  <c r="S73" i="1"/>
  <c r="W90" i="1"/>
  <c r="S49" i="1"/>
  <c r="P131" i="1"/>
  <c r="R51" i="1"/>
  <c r="AD62" i="1"/>
  <c r="V112" i="1"/>
  <c r="W54" i="1"/>
  <c r="W53" i="1"/>
  <c r="AD121" i="1"/>
  <c r="V127" i="1"/>
  <c r="L158" i="1"/>
  <c r="V26" i="1"/>
  <c r="AD68" i="1"/>
  <c r="AC4" i="1"/>
  <c r="Z17" i="1"/>
  <c r="AE21" i="1"/>
  <c r="R13" i="1"/>
  <c r="N16" i="1"/>
  <c r="AF143" i="1"/>
  <c r="U76" i="1"/>
  <c r="V91" i="1"/>
  <c r="AI46" i="1"/>
  <c r="C158" i="1"/>
  <c r="I122" i="1"/>
  <c r="S84" i="1"/>
  <c r="S96" i="1"/>
  <c r="Y72" i="1"/>
  <c r="D83" i="1"/>
  <c r="M86" i="1"/>
  <c r="V84" i="1"/>
  <c r="E89" i="1"/>
  <c r="L76" i="1"/>
  <c r="D15" i="1"/>
  <c r="X76" i="1"/>
  <c r="AF150" i="1"/>
  <c r="Q23" i="1"/>
  <c r="AB39" i="1"/>
  <c r="W118" i="1"/>
  <c r="AB138" i="1"/>
  <c r="Q154" i="1"/>
  <c r="K17" i="1"/>
  <c r="AF12" i="1"/>
  <c r="V146" i="1"/>
  <c r="AB116" i="1"/>
  <c r="N37" i="1"/>
  <c r="X27" i="1"/>
  <c r="G73" i="1"/>
  <c r="F138" i="1"/>
  <c r="J145" i="1"/>
  <c r="M138" i="1"/>
  <c r="AF125" i="1"/>
  <c r="X143" i="1"/>
  <c r="K50" i="1"/>
  <c r="N9" i="1"/>
  <c r="AB130" i="1"/>
  <c r="AG83" i="1"/>
  <c r="X44" i="1"/>
  <c r="Y47" i="1"/>
  <c r="D21" i="1"/>
  <c r="L51" i="1"/>
  <c r="P112" i="1"/>
  <c r="R94" i="1"/>
  <c r="AB6" i="1"/>
  <c r="G44" i="1"/>
  <c r="AC52" i="1"/>
  <c r="V147" i="1"/>
  <c r="P70" i="1"/>
  <c r="L68" i="1"/>
  <c r="AE5" i="1"/>
  <c r="AC98" i="1"/>
  <c r="P58" i="1"/>
  <c r="F39" i="1"/>
  <c r="K138" i="1"/>
  <c r="T22" i="1"/>
  <c r="J28" i="1"/>
  <c r="M109" i="1"/>
  <c r="P122" i="1"/>
  <c r="W135" i="1"/>
  <c r="I72" i="1"/>
  <c r="L87" i="1"/>
  <c r="I40" i="1"/>
  <c r="AD83" i="1"/>
  <c r="I107" i="1"/>
  <c r="T54" i="1"/>
  <c r="G152" i="1"/>
  <c r="L133" i="1"/>
  <c r="I137" i="1"/>
  <c r="G49" i="1"/>
  <c r="V36" i="1"/>
  <c r="AF85" i="1"/>
  <c r="AE107" i="1"/>
  <c r="S138" i="1"/>
  <c r="AD93" i="1"/>
  <c r="AH111" i="1"/>
  <c r="AE83" i="1"/>
  <c r="M151" i="1"/>
  <c r="X132" i="1"/>
  <c r="AI69" i="1"/>
  <c r="V8" i="1"/>
  <c r="J103" i="1"/>
  <c r="J18" i="1"/>
  <c r="Y63" i="1"/>
  <c r="K27" i="1"/>
  <c r="Y23" i="1"/>
  <c r="J17" i="1"/>
  <c r="F139" i="1"/>
  <c r="F84" i="1"/>
  <c r="C133" i="1"/>
  <c r="AF56" i="1"/>
  <c r="AD63" i="1"/>
  <c r="AE8" i="1"/>
  <c r="W40" i="1"/>
  <c r="AH58" i="1"/>
  <c r="X64" i="1"/>
  <c r="O97" i="1"/>
  <c r="D82" i="1"/>
  <c r="M58" i="1"/>
  <c r="S114" i="1"/>
  <c r="AD39" i="1"/>
  <c r="Y35" i="1"/>
  <c r="N124" i="1"/>
  <c r="AI79" i="1"/>
  <c r="N45" i="1"/>
  <c r="F103" i="1"/>
  <c r="AG113" i="1"/>
  <c r="K26" i="1"/>
  <c r="U138" i="1"/>
  <c r="M108" i="1"/>
  <c r="R52" i="1"/>
  <c r="T51" i="1"/>
  <c r="AC132" i="1"/>
  <c r="W101" i="1"/>
  <c r="K137" i="1"/>
  <c r="D85" i="1"/>
  <c r="O137" i="1"/>
  <c r="Z81" i="1"/>
  <c r="E131" i="1"/>
  <c r="AH83" i="1"/>
  <c r="G11" i="1"/>
  <c r="AG54" i="1"/>
  <c r="AG136" i="1"/>
  <c r="L101" i="1"/>
  <c r="AF107" i="1"/>
  <c r="H24" i="1"/>
  <c r="U88" i="1"/>
  <c r="F119" i="1"/>
  <c r="V18" i="1"/>
  <c r="AB114" i="1"/>
  <c r="AF128" i="1"/>
  <c r="O49" i="1"/>
  <c r="H61" i="1"/>
  <c r="X71" i="1"/>
  <c r="S40" i="1"/>
  <c r="J101" i="1"/>
  <c r="I47" i="1"/>
  <c r="M100" i="1"/>
  <c r="O60" i="1"/>
  <c r="AC69" i="1"/>
  <c r="Z53" i="1"/>
  <c r="AH109" i="1"/>
  <c r="E88" i="1"/>
  <c r="AC116" i="1"/>
  <c r="C149" i="1"/>
  <c r="D69" i="1"/>
  <c r="F28" i="1"/>
  <c r="H106" i="1"/>
  <c r="D145" i="1"/>
  <c r="J153" i="1"/>
  <c r="H66" i="1"/>
  <c r="W152" i="1"/>
  <c r="D111" i="1"/>
  <c r="AG156" i="1"/>
  <c r="T8" i="1"/>
  <c r="AA23" i="1"/>
  <c r="Z32" i="1"/>
  <c r="Y99" i="1"/>
  <c r="J78" i="1"/>
  <c r="H58" i="1"/>
  <c r="E67" i="1"/>
  <c r="AI92" i="1"/>
  <c r="L59" i="1"/>
  <c r="H82" i="1"/>
  <c r="R103" i="1"/>
  <c r="W77" i="1"/>
  <c r="R16" i="1"/>
  <c r="AA4" i="1"/>
  <c r="Y104" i="1"/>
  <c r="AB63" i="1"/>
  <c r="J43" i="1"/>
  <c r="O63" i="1"/>
  <c r="H111" i="1"/>
  <c r="S120" i="1"/>
  <c r="AH50" i="1"/>
  <c r="Q104" i="1"/>
  <c r="P59" i="1"/>
  <c r="S58" i="1"/>
  <c r="O81" i="1"/>
  <c r="M10" i="1"/>
  <c r="AA81" i="1"/>
  <c r="K3" i="1"/>
  <c r="AI135" i="1"/>
  <c r="G68" i="1"/>
  <c r="D86" i="1"/>
  <c r="M5" i="1"/>
  <c r="M137" i="1"/>
  <c r="O17" i="1"/>
  <c r="E93" i="1"/>
  <c r="AF50" i="1"/>
  <c r="W80" i="1"/>
  <c r="R58" i="1"/>
  <c r="Z33" i="1"/>
  <c r="N3" i="1"/>
  <c r="W61" i="1"/>
  <c r="K56" i="1"/>
  <c r="J31" i="1"/>
  <c r="AD55" i="1"/>
  <c r="V7" i="1"/>
  <c r="I54" i="1"/>
  <c r="AD112" i="1"/>
  <c r="X158" i="1"/>
  <c r="U75" i="1"/>
  <c r="J48" i="1"/>
  <c r="AF25" i="1"/>
  <c r="N70" i="1"/>
  <c r="X137" i="1"/>
  <c r="H100" i="1"/>
  <c r="Q47" i="1"/>
  <c r="AI133" i="1"/>
  <c r="J46" i="1"/>
  <c r="Z86" i="1"/>
  <c r="K39" i="1"/>
  <c r="E100" i="1"/>
  <c r="L86" i="1"/>
  <c r="F12" i="1"/>
  <c r="F125" i="1"/>
  <c r="AH41" i="1"/>
  <c r="I102" i="1"/>
  <c r="C97" i="1"/>
  <c r="I4" i="1"/>
  <c r="AC85" i="1"/>
  <c r="E80" i="1"/>
  <c r="I5" i="1"/>
  <c r="AD138" i="1"/>
  <c r="T52" i="1"/>
  <c r="D78" i="1"/>
  <c r="P81" i="1"/>
  <c r="K65" i="1"/>
  <c r="AC152" i="1"/>
  <c r="G102" i="1"/>
  <c r="E104" i="1"/>
  <c r="L33" i="1"/>
  <c r="F128" i="1"/>
  <c r="AG130" i="1"/>
  <c r="O92" i="1"/>
  <c r="N68" i="1"/>
  <c r="AH61" i="1"/>
  <c r="N8" i="1"/>
  <c r="U155" i="1"/>
  <c r="N105" i="1"/>
  <c r="D76" i="1"/>
  <c r="D49" i="1"/>
  <c r="O104" i="1"/>
  <c r="J33" i="1"/>
  <c r="S65" i="1"/>
  <c r="M55" i="1"/>
  <c r="AI82" i="1"/>
  <c r="M146" i="1"/>
  <c r="AH145" i="1"/>
  <c r="G17" i="1"/>
  <c r="W31" i="1"/>
  <c r="S128" i="1"/>
  <c r="AF86" i="1"/>
  <c r="Y5" i="1"/>
  <c r="AG85" i="1"/>
  <c r="O45" i="1"/>
  <c r="AF82" i="1"/>
  <c r="C78" i="1"/>
  <c r="E152" i="1"/>
  <c r="AI89" i="1"/>
  <c r="M152" i="1"/>
  <c r="T48" i="1"/>
  <c r="Z118" i="1"/>
  <c r="AE25" i="1"/>
  <c r="E81" i="1"/>
  <c r="L153" i="1"/>
  <c r="H48" i="1"/>
  <c r="I11" i="1"/>
  <c r="V118" i="1"/>
  <c r="Q138" i="1"/>
  <c r="M95" i="1"/>
  <c r="AA18" i="1"/>
  <c r="I55" i="1"/>
  <c r="R21" i="1"/>
  <c r="M140" i="1"/>
  <c r="AE65" i="1"/>
  <c r="G42" i="1"/>
  <c r="T89" i="1"/>
  <c r="D129" i="1"/>
  <c r="R151" i="1"/>
  <c r="X31" i="1"/>
  <c r="N79" i="1"/>
  <c r="H105" i="1"/>
  <c r="D42" i="1"/>
  <c r="AC48" i="1"/>
  <c r="AI48" i="1"/>
  <c r="AD136" i="1"/>
  <c r="T129" i="1"/>
  <c r="V31" i="1"/>
  <c r="C123" i="1"/>
  <c r="AC127" i="1"/>
  <c r="F105" i="1"/>
  <c r="AE73" i="1"/>
  <c r="AE59" i="1"/>
  <c r="X157" i="1"/>
  <c r="F58" i="1"/>
  <c r="J30" i="1"/>
  <c r="AE31" i="1"/>
  <c r="AA102" i="1"/>
  <c r="J62" i="1"/>
  <c r="M11" i="1"/>
  <c r="AC42" i="1"/>
  <c r="S131" i="1"/>
  <c r="R119" i="1"/>
  <c r="N129" i="1"/>
  <c r="Y18" i="1"/>
  <c r="S105" i="1"/>
  <c r="X142" i="1"/>
  <c r="N152" i="1"/>
  <c r="H115" i="1"/>
  <c r="X67" i="1"/>
  <c r="AI94" i="1"/>
  <c r="AF79" i="1"/>
  <c r="Z41" i="1"/>
  <c r="AI9" i="1"/>
  <c r="AA121" i="1"/>
  <c r="AD38" i="1"/>
  <c r="W103" i="1"/>
  <c r="C16" i="1"/>
  <c r="AB18" i="1"/>
  <c r="K24" i="1"/>
  <c r="P113" i="1"/>
  <c r="I34" i="1"/>
  <c r="Q126" i="1"/>
  <c r="AA17" i="1"/>
  <c r="U115" i="1"/>
  <c r="C74" i="1"/>
  <c r="AI24" i="1"/>
  <c r="E132" i="1"/>
  <c r="Z46" i="1"/>
  <c r="U103" i="1"/>
  <c r="V40" i="1"/>
  <c r="AF42" i="1"/>
  <c r="AI20" i="1"/>
  <c r="Q37" i="1"/>
  <c r="S63" i="1"/>
  <c r="AC148" i="1"/>
  <c r="R60" i="1"/>
  <c r="AF141" i="1"/>
  <c r="G133" i="1"/>
  <c r="P157" i="1"/>
  <c r="P52" i="1"/>
  <c r="F99" i="1"/>
  <c r="AE139" i="1"/>
  <c r="W110" i="1"/>
  <c r="AI60" i="1"/>
  <c r="Q78" i="1"/>
  <c r="P85" i="1"/>
  <c r="AI50" i="1"/>
  <c r="X130" i="1"/>
  <c r="W134" i="1"/>
  <c r="M135" i="1"/>
  <c r="AA127" i="1"/>
  <c r="N85" i="1"/>
  <c r="E94" i="1"/>
  <c r="AD134" i="1"/>
  <c r="K73" i="1"/>
  <c r="Q149" i="1"/>
  <c r="V76" i="1"/>
  <c r="O68" i="1"/>
  <c r="F72" i="1"/>
  <c r="J13" i="1"/>
  <c r="H19" i="1"/>
  <c r="M89" i="1"/>
  <c r="M14" i="1"/>
  <c r="AF29" i="1"/>
  <c r="M53" i="1"/>
  <c r="J83" i="1"/>
  <c r="L104" i="1"/>
  <c r="AD107" i="1"/>
  <c r="N14" i="1"/>
  <c r="J10" i="1"/>
  <c r="AG98" i="1"/>
  <c r="I110" i="1"/>
  <c r="L69" i="1"/>
  <c r="AB94" i="1"/>
  <c r="E142" i="1"/>
  <c r="U120" i="1"/>
  <c r="J69" i="1"/>
  <c r="AE33" i="1"/>
  <c r="D39" i="1"/>
  <c r="AA35" i="1"/>
  <c r="E109" i="1"/>
  <c r="U6" i="1"/>
  <c r="P136" i="1"/>
  <c r="U39" i="1"/>
  <c r="V157" i="1"/>
  <c r="AG19" i="1"/>
  <c r="L31" i="1"/>
  <c r="AC102" i="1"/>
  <c r="E117" i="1"/>
  <c r="P151" i="1"/>
  <c r="L6" i="1"/>
  <c r="G126" i="1"/>
  <c r="T82" i="1"/>
  <c r="R45" i="1"/>
  <c r="K20" i="1"/>
  <c r="Q92" i="1"/>
  <c r="Q146" i="1"/>
  <c r="AE86" i="1"/>
  <c r="L148" i="1"/>
  <c r="AB73" i="1"/>
  <c r="AE137" i="1"/>
  <c r="U18" i="1"/>
  <c r="S111" i="1"/>
  <c r="S147" i="1"/>
  <c r="Y158" i="1"/>
  <c r="X69" i="1"/>
  <c r="C4" i="1"/>
  <c r="O47" i="1"/>
  <c r="M40" i="1"/>
  <c r="N123" i="1"/>
  <c r="V105" i="1"/>
  <c r="R2" i="1"/>
  <c r="AI83" i="1"/>
  <c r="E18" i="1"/>
  <c r="X124" i="1"/>
  <c r="V148" i="1"/>
  <c r="S87" i="1"/>
  <c r="AG111" i="1"/>
  <c r="P55" i="1"/>
  <c r="J138" i="1"/>
  <c r="C36" i="1"/>
  <c r="I128" i="1"/>
  <c r="Q10" i="1"/>
  <c r="H141" i="1"/>
  <c r="O74" i="1"/>
  <c r="AG62" i="1"/>
  <c r="U33" i="1"/>
  <c r="Z113" i="1"/>
  <c r="Q12" i="1"/>
  <c r="C76" i="1"/>
  <c r="D55" i="1"/>
  <c r="W67" i="1"/>
  <c r="AC93" i="1"/>
  <c r="T127" i="1"/>
  <c r="AH7" i="1"/>
  <c r="N66" i="1"/>
  <c r="V95" i="1"/>
  <c r="Q89" i="1"/>
  <c r="AC101" i="1"/>
  <c r="F112" i="1"/>
  <c r="C93" i="1"/>
  <c r="AE120" i="1"/>
  <c r="C55" i="1"/>
  <c r="H147" i="1"/>
  <c r="AC50" i="1"/>
  <c r="T141" i="1"/>
  <c r="K10" i="1"/>
  <c r="C131" i="1"/>
  <c r="U4" i="1"/>
  <c r="AE132" i="1"/>
  <c r="X80" i="1"/>
  <c r="U107" i="1"/>
  <c r="F100" i="1"/>
  <c r="U139" i="1"/>
  <c r="T53" i="1"/>
  <c r="AI117" i="1"/>
  <c r="P49" i="1"/>
  <c r="AE111" i="1"/>
  <c r="N108" i="1"/>
  <c r="X147" i="1"/>
  <c r="I109" i="1"/>
  <c r="AC126" i="1"/>
  <c r="AF5" i="1"/>
  <c r="E122" i="1"/>
  <c r="M43" i="1"/>
  <c r="V12" i="1"/>
  <c r="M57" i="1"/>
  <c r="T18" i="1"/>
  <c r="N120" i="1"/>
  <c r="M2" i="1"/>
  <c r="O12" i="1"/>
  <c r="AE75" i="1"/>
  <c r="R91" i="1"/>
  <c r="AC89" i="1"/>
  <c r="E127" i="1"/>
  <c r="P77" i="1"/>
  <c r="C52" i="1"/>
  <c r="R154" i="1"/>
  <c r="E60" i="1"/>
  <c r="D151" i="1"/>
  <c r="N75" i="1"/>
  <c r="H121" i="1"/>
  <c r="AC46" i="1"/>
  <c r="W141" i="1"/>
  <c r="AE91" i="1"/>
  <c r="Y128" i="1"/>
  <c r="AF4" i="1"/>
  <c r="Q22" i="1"/>
  <c r="AF156" i="1"/>
  <c r="Y121" i="1"/>
  <c r="P100" i="1"/>
  <c r="Z121" i="1"/>
  <c r="AF64" i="1"/>
  <c r="N151" i="1"/>
  <c r="C108" i="1"/>
  <c r="Y17" i="1"/>
  <c r="G57" i="1"/>
  <c r="T79" i="1"/>
  <c r="E23" i="1"/>
  <c r="AD29" i="1"/>
  <c r="P127" i="1"/>
  <c r="N18" i="1"/>
  <c r="R148" i="1"/>
  <c r="T42" i="1"/>
  <c r="Q36" i="1"/>
  <c r="E8" i="1"/>
  <c r="D114" i="1"/>
  <c r="AF53" i="1"/>
  <c r="N47" i="1"/>
  <c r="N13" i="1"/>
  <c r="Z140" i="1"/>
  <c r="I155" i="1"/>
  <c r="O31" i="1"/>
  <c r="G78" i="1"/>
  <c r="O84" i="1"/>
  <c r="R97" i="1"/>
  <c r="L70" i="1"/>
  <c r="F30" i="1"/>
  <c r="W99" i="1"/>
  <c r="Z8" i="1"/>
  <c r="Q94" i="1"/>
  <c r="O153" i="1"/>
  <c r="W34" i="1"/>
  <c r="F19" i="1"/>
  <c r="C151" i="1"/>
  <c r="K158" i="1"/>
  <c r="L143" i="1"/>
  <c r="AF67" i="1"/>
  <c r="AD146" i="1"/>
  <c r="V63" i="1"/>
  <c r="J74" i="1"/>
  <c r="N106" i="1"/>
  <c r="F59" i="1"/>
  <c r="G16" i="1"/>
  <c r="O134" i="1"/>
  <c r="M68" i="1"/>
  <c r="Q58" i="1"/>
  <c r="X86" i="1"/>
  <c r="P5" i="1"/>
  <c r="AE36" i="1"/>
  <c r="D139" i="1"/>
  <c r="AC120" i="1"/>
  <c r="E29" i="1"/>
  <c r="Z100" i="1"/>
  <c r="I69" i="1"/>
  <c r="AH148" i="1"/>
  <c r="AD151" i="1"/>
  <c r="D9" i="1"/>
  <c r="I119" i="1"/>
  <c r="AC94" i="1"/>
  <c r="AA25" i="1"/>
  <c r="AA136" i="1"/>
  <c r="S45" i="1"/>
  <c r="AH63" i="1"/>
  <c r="AE104" i="1"/>
  <c r="W48" i="1"/>
  <c r="V51" i="1"/>
  <c r="I121" i="1"/>
  <c r="G79" i="1"/>
  <c r="M54" i="1"/>
  <c r="AH16" i="1"/>
  <c r="R147" i="1"/>
  <c r="AE37" i="1"/>
  <c r="D117" i="1"/>
  <c r="Q113" i="1"/>
  <c r="D58" i="1"/>
  <c r="Q42" i="1"/>
  <c r="Z42" i="1"/>
  <c r="N126" i="1"/>
  <c r="K23" i="1"/>
  <c r="H41" i="1"/>
  <c r="AB140" i="1"/>
  <c r="J3" i="1"/>
  <c r="K63" i="1"/>
  <c r="AA131" i="1"/>
  <c r="Z20" i="1"/>
  <c r="C157" i="1"/>
  <c r="J95" i="1"/>
  <c r="L93" i="1"/>
  <c r="U20" i="1"/>
  <c r="Y88" i="1"/>
  <c r="W107" i="1"/>
  <c r="AG144" i="1"/>
  <c r="D102" i="1"/>
  <c r="AE126" i="1"/>
  <c r="M50" i="1"/>
  <c r="S108" i="1"/>
  <c r="F67" i="1"/>
  <c r="AB117" i="1"/>
  <c r="O9" i="1"/>
  <c r="AG80" i="1"/>
  <c r="AA137" i="1"/>
  <c r="F150" i="1"/>
  <c r="E150" i="1"/>
  <c r="AG17" i="1"/>
  <c r="I77" i="1"/>
  <c r="T56" i="1"/>
  <c r="U47" i="1"/>
  <c r="AE78" i="1"/>
  <c r="Q112" i="1"/>
  <c r="T104" i="1"/>
  <c r="AB127" i="1"/>
  <c r="U54" i="1"/>
  <c r="R35" i="1"/>
  <c r="N145" i="1"/>
  <c r="Y64" i="1"/>
  <c r="AC146" i="1"/>
  <c r="S104" i="1"/>
  <c r="K43" i="1"/>
  <c r="AA96" i="1"/>
  <c r="AI97" i="1"/>
  <c r="U154" i="1"/>
  <c r="J111" i="1"/>
  <c r="I82" i="1"/>
  <c r="N4" i="1"/>
  <c r="N104" i="1"/>
  <c r="M24" i="1"/>
  <c r="AI154" i="1"/>
  <c r="C99" i="1"/>
  <c r="D88" i="1"/>
  <c r="AF132" i="1"/>
  <c r="I83" i="1"/>
  <c r="P71" i="1"/>
  <c r="Y36" i="1"/>
  <c r="T74" i="1"/>
  <c r="AG145" i="1"/>
  <c r="AE4" i="1"/>
  <c r="J79" i="1"/>
  <c r="Q74" i="1"/>
  <c r="N111" i="1"/>
  <c r="N42" i="1"/>
  <c r="R18" i="1"/>
  <c r="Y133" i="1"/>
  <c r="Q7" i="1"/>
  <c r="AB62" i="1"/>
  <c r="D80" i="1"/>
  <c r="AI49" i="1"/>
  <c r="R88" i="1"/>
  <c r="AI2" i="1"/>
  <c r="C119" i="1"/>
  <c r="Y130" i="1"/>
  <c r="H133" i="1"/>
  <c r="E84" i="1"/>
  <c r="Y22" i="1"/>
  <c r="N93" i="1"/>
  <c r="N127" i="1"/>
  <c r="P92" i="1"/>
  <c r="AA69" i="1"/>
  <c r="H117" i="1"/>
  <c r="M117" i="1"/>
  <c r="K84" i="1"/>
  <c r="T60" i="1"/>
  <c r="AI115" i="1"/>
  <c r="AF66" i="1"/>
  <c r="R32" i="1"/>
  <c r="AA132" i="1"/>
  <c r="T71" i="1"/>
  <c r="AC131" i="1"/>
  <c r="K139" i="1"/>
  <c r="AH125" i="1"/>
  <c r="AI55" i="1"/>
  <c r="AG93" i="1"/>
  <c r="C33" i="1"/>
  <c r="R110" i="1"/>
  <c r="AE127" i="1"/>
  <c r="Z109" i="1"/>
  <c r="AD145" i="1"/>
  <c r="J110" i="1"/>
  <c r="U80" i="1"/>
  <c r="AG16" i="1"/>
  <c r="T134" i="1"/>
  <c r="W108" i="1"/>
  <c r="D118" i="1"/>
  <c r="Q26" i="1"/>
  <c r="N128" i="1"/>
  <c r="S129" i="1"/>
  <c r="Q13" i="1"/>
  <c r="AA36" i="1"/>
  <c r="D136" i="1"/>
  <c r="E154" i="1"/>
  <c r="K32" i="1"/>
  <c r="K97" i="1"/>
  <c r="Q124" i="1"/>
  <c r="AB4" i="1"/>
  <c r="U101" i="1"/>
  <c r="AC54" i="1"/>
  <c r="X8" i="1"/>
  <c r="N49" i="1"/>
  <c r="AB148" i="1"/>
  <c r="AB3" i="1"/>
  <c r="E19" i="1"/>
  <c r="AA110" i="1"/>
  <c r="AD95" i="1"/>
  <c r="W9" i="1"/>
  <c r="U97" i="1"/>
  <c r="V42" i="1"/>
  <c r="AA65" i="1"/>
  <c r="D84" i="1"/>
  <c r="N82" i="1"/>
  <c r="F21" i="1"/>
  <c r="N133" i="1"/>
  <c r="T17" i="1"/>
  <c r="O109" i="1"/>
  <c r="S20" i="1"/>
  <c r="U44" i="1"/>
  <c r="V22" i="1"/>
  <c r="AI95" i="1"/>
  <c r="W105" i="1"/>
  <c r="O140" i="1"/>
  <c r="V24" i="1"/>
  <c r="K89" i="1"/>
  <c r="T86" i="1"/>
  <c r="AB91" i="1"/>
  <c r="D12" i="1"/>
  <c r="R6" i="1"/>
  <c r="G48" i="1"/>
  <c r="R128" i="1"/>
  <c r="AI153" i="1"/>
  <c r="U5" i="1"/>
  <c r="H12" i="1"/>
  <c r="AH123" i="1"/>
  <c r="AG109" i="1"/>
  <c r="D46" i="1"/>
  <c r="AB65" i="1"/>
  <c r="AG10" i="1"/>
  <c r="AH64" i="1"/>
  <c r="I19" i="1"/>
  <c r="AB15" i="1"/>
  <c r="P30" i="1"/>
  <c r="Y92" i="1"/>
  <c r="G97" i="1"/>
  <c r="AB143" i="1"/>
  <c r="N21" i="1"/>
  <c r="AA109" i="1"/>
  <c r="U117" i="1"/>
  <c r="N136" i="1"/>
  <c r="G63" i="1"/>
  <c r="AG38" i="1"/>
  <c r="AE142" i="1"/>
  <c r="Z103" i="1"/>
  <c r="AG65" i="1"/>
  <c r="AA70" i="1"/>
  <c r="H92" i="1"/>
  <c r="L30" i="1"/>
  <c r="D5" i="1"/>
  <c r="V5" i="1"/>
  <c r="J56" i="1"/>
  <c r="AB45" i="1"/>
  <c r="Q148" i="1"/>
  <c r="F8" i="1"/>
  <c r="AC8" i="1"/>
  <c r="T76" i="1"/>
  <c r="V152" i="1"/>
  <c r="AE147" i="1"/>
  <c r="Q9" i="1"/>
  <c r="AD72" i="1"/>
  <c r="I80" i="1"/>
  <c r="R101" i="1"/>
  <c r="Y110" i="1"/>
  <c r="Y101" i="1"/>
  <c r="W7" i="1"/>
  <c r="Z87" i="1"/>
  <c r="Y71" i="1"/>
  <c r="I145" i="1"/>
  <c r="Y59" i="1"/>
  <c r="Y91" i="1"/>
  <c r="P32" i="1"/>
  <c r="J73" i="1"/>
  <c r="I99" i="1"/>
  <c r="V98" i="1"/>
  <c r="L67" i="1"/>
  <c r="C130" i="1"/>
  <c r="AA3" i="1"/>
  <c r="O59" i="1"/>
  <c r="AB67" i="1"/>
  <c r="T24" i="1"/>
  <c r="N83" i="1"/>
  <c r="AD104" i="1"/>
  <c r="AC65" i="1"/>
  <c r="AA88" i="1"/>
  <c r="AB17" i="1"/>
  <c r="AC130" i="1"/>
  <c r="E111" i="1"/>
  <c r="N141" i="1"/>
  <c r="Y120" i="1"/>
  <c r="Z61" i="1"/>
  <c r="N69" i="1"/>
  <c r="R28" i="1"/>
  <c r="G21" i="1"/>
  <c r="K46" i="1"/>
  <c r="U122" i="1"/>
  <c r="W87" i="1"/>
  <c r="Z57" i="1"/>
  <c r="G27" i="1"/>
  <c r="O42" i="1"/>
  <c r="AC14" i="1"/>
  <c r="S80" i="1"/>
  <c r="K16" i="1"/>
  <c r="G123" i="1"/>
  <c r="M46" i="1"/>
  <c r="AB29" i="1"/>
  <c r="K118" i="1"/>
  <c r="J15" i="1"/>
  <c r="Z69" i="1"/>
  <c r="L78" i="1"/>
  <c r="AD7" i="1"/>
  <c r="C17" i="1"/>
  <c r="X19" i="1"/>
  <c r="AH81" i="1"/>
  <c r="Q101" i="1"/>
  <c r="U11" i="1"/>
  <c r="AF122" i="1"/>
  <c r="L11" i="1"/>
  <c r="AA104" i="1"/>
  <c r="AI85" i="1"/>
  <c r="AA50" i="1"/>
  <c r="C126" i="1"/>
  <c r="N65" i="1"/>
  <c r="T49" i="1"/>
  <c r="AB99" i="1"/>
  <c r="AF22" i="1"/>
  <c r="AB135" i="1"/>
  <c r="O53" i="1"/>
  <c r="U19" i="1"/>
  <c r="X112" i="1"/>
  <c r="V67" i="1"/>
  <c r="U124" i="1"/>
  <c r="AC87" i="1"/>
  <c r="U35" i="1"/>
  <c r="L150" i="1"/>
  <c r="S133" i="1"/>
  <c r="S101" i="1"/>
  <c r="T68" i="1"/>
  <c r="AD127" i="1"/>
  <c r="Q38" i="1"/>
  <c r="U132" i="1"/>
  <c r="AE15" i="1"/>
  <c r="J63" i="1"/>
  <c r="J158" i="1"/>
  <c r="F45" i="1"/>
  <c r="AH113" i="1"/>
  <c r="T110" i="1"/>
  <c r="AC71" i="1"/>
  <c r="J143" i="1"/>
  <c r="P125" i="1"/>
  <c r="O40" i="1"/>
  <c r="Z154" i="1"/>
  <c r="AD120" i="1"/>
  <c r="S17" i="1"/>
  <c r="E9" i="1"/>
  <c r="AD157" i="1"/>
  <c r="E54" i="1"/>
  <c r="Y68" i="1"/>
  <c r="D41" i="1"/>
  <c r="D96" i="1"/>
  <c r="N142" i="1"/>
  <c r="Y15" i="1"/>
  <c r="C143" i="1"/>
  <c r="AA6" i="1"/>
  <c r="O117" i="1"/>
  <c r="H3" i="1"/>
  <c r="AF62" i="1"/>
  <c r="F33" i="1"/>
  <c r="AG128" i="1"/>
  <c r="E129" i="1"/>
  <c r="AI51" i="1"/>
  <c r="AA63" i="1"/>
  <c r="AE72" i="1"/>
  <c r="T57" i="1"/>
  <c r="O115" i="1"/>
  <c r="F47" i="1"/>
  <c r="N48" i="1"/>
  <c r="D124" i="1"/>
  <c r="H146" i="1"/>
  <c r="G81" i="1"/>
  <c r="J131" i="1"/>
  <c r="AB20" i="1"/>
  <c r="L45" i="1"/>
  <c r="G5" i="1"/>
  <c r="AI39" i="1"/>
  <c r="W44" i="1"/>
  <c r="M26" i="1"/>
  <c r="S106" i="1"/>
  <c r="G157" i="1"/>
  <c r="Z15" i="1"/>
  <c r="K148" i="1"/>
  <c r="L118" i="1"/>
  <c r="H112" i="1"/>
  <c r="X129" i="1"/>
  <c r="AC47" i="1"/>
  <c r="U113" i="1"/>
  <c r="D66" i="1"/>
  <c r="E49" i="1"/>
  <c r="P17" i="1"/>
  <c r="V131" i="1"/>
  <c r="D116" i="1"/>
  <c r="S127" i="1"/>
  <c r="S99" i="1"/>
  <c r="AC125" i="1"/>
  <c r="H91" i="1"/>
  <c r="AB82" i="1"/>
  <c r="U134" i="1"/>
  <c r="G61" i="1"/>
  <c r="N109" i="1"/>
  <c r="G74" i="1"/>
  <c r="P149" i="1"/>
  <c r="L103" i="1"/>
  <c r="M63" i="1"/>
  <c r="AF93" i="1"/>
  <c r="AC117" i="1"/>
  <c r="AC90" i="1"/>
  <c r="V78" i="1"/>
  <c r="M44" i="1"/>
  <c r="W126" i="1"/>
  <c r="T100" i="1"/>
  <c r="AE145" i="1"/>
  <c r="M96" i="1"/>
  <c r="AG127" i="1"/>
  <c r="Y7" i="1"/>
  <c r="AA135" i="1"/>
  <c r="F53" i="1"/>
  <c r="W32" i="1"/>
  <c r="S81" i="1"/>
  <c r="AD45" i="1"/>
  <c r="Y152" i="1"/>
  <c r="AH54" i="1"/>
  <c r="AC115" i="1"/>
  <c r="Y148" i="1"/>
  <c r="AH72" i="1"/>
  <c r="AE153" i="1"/>
  <c r="Q76" i="1"/>
  <c r="AA111" i="1"/>
  <c r="AI33" i="1"/>
  <c r="F115" i="1"/>
  <c r="Q155" i="1"/>
  <c r="P105" i="1"/>
  <c r="S15" i="1"/>
  <c r="U7" i="1"/>
  <c r="Z71" i="1"/>
  <c r="H103" i="1"/>
  <c r="W57" i="1"/>
  <c r="AC156" i="1"/>
  <c r="L54" i="1"/>
  <c r="AA8" i="1"/>
  <c r="S155" i="1"/>
  <c r="AG2" i="1"/>
  <c r="Q49" i="1"/>
  <c r="O8" i="1"/>
  <c r="AC43" i="1"/>
  <c r="I117" i="1"/>
  <c r="L138" i="1"/>
  <c r="Y117" i="1"/>
  <c r="Z99" i="1"/>
  <c r="H72" i="1"/>
  <c r="P38" i="1"/>
  <c r="AD116" i="1"/>
  <c r="AF57" i="1"/>
  <c r="F158" i="1"/>
  <c r="AD9" i="1"/>
  <c r="O48" i="1"/>
  <c r="S150" i="1"/>
  <c r="D75" i="1"/>
  <c r="V46" i="1"/>
  <c r="R37" i="1"/>
  <c r="AG150" i="1"/>
  <c r="J39" i="1"/>
  <c r="G29" i="1"/>
  <c r="X74" i="1"/>
  <c r="D31" i="1"/>
  <c r="M119" i="1"/>
  <c r="C135" i="1"/>
  <c r="AI17" i="1"/>
  <c r="K154" i="1"/>
  <c r="C42" i="1"/>
  <c r="I46" i="1"/>
  <c r="AD19" i="1"/>
  <c r="AC112" i="1"/>
  <c r="AC63" i="1"/>
  <c r="V30" i="1"/>
  <c r="T40" i="1"/>
  <c r="G28" i="1"/>
  <c r="AI123" i="1"/>
  <c r="U152" i="1"/>
  <c r="V6" i="1"/>
  <c r="AG61" i="1"/>
  <c r="L37" i="1"/>
  <c r="X114" i="1"/>
  <c r="K146" i="1"/>
  <c r="AE156" i="1"/>
  <c r="U3" i="1"/>
  <c r="G115" i="1"/>
  <c r="AF140" i="1"/>
  <c r="S30" i="1"/>
  <c r="S38" i="1"/>
  <c r="H109" i="1"/>
  <c r="W114" i="1"/>
  <c r="Z45" i="1"/>
  <c r="AG152" i="1"/>
  <c r="AD66" i="1"/>
  <c r="AE76" i="1"/>
  <c r="AG31" i="1"/>
  <c r="I130" i="1"/>
  <c r="U83" i="1"/>
  <c r="Z84" i="1"/>
  <c r="Q66" i="1"/>
  <c r="T125" i="1"/>
  <c r="M131" i="1"/>
  <c r="M33" i="1"/>
  <c r="W151" i="1"/>
  <c r="AG101" i="1"/>
  <c r="S146" i="1"/>
  <c r="AF152" i="1"/>
  <c r="W26" i="1"/>
  <c r="H156" i="1"/>
  <c r="AI57" i="1"/>
  <c r="L36" i="1"/>
  <c r="F151" i="1"/>
  <c r="G153" i="1"/>
  <c r="AD88" i="1"/>
  <c r="V140" i="1"/>
  <c r="V9" i="1"/>
  <c r="G139" i="1"/>
  <c r="AC27" i="1"/>
  <c r="L88" i="1"/>
  <c r="Q157" i="1"/>
  <c r="W92" i="1"/>
  <c r="Q65" i="1"/>
  <c r="Z128" i="1"/>
  <c r="P14" i="1"/>
  <c r="Q152" i="1"/>
  <c r="R95" i="1"/>
  <c r="AE148" i="1"/>
  <c r="U53" i="1"/>
  <c r="V64" i="1"/>
  <c r="AA5" i="1"/>
  <c r="O123" i="1"/>
  <c r="AD36" i="1"/>
  <c r="AI142" i="1"/>
  <c r="U73" i="1"/>
  <c r="X59" i="1"/>
  <c r="S13" i="1"/>
  <c r="K134" i="1"/>
  <c r="M110" i="1"/>
  <c r="D105" i="1"/>
  <c r="F79" i="1"/>
  <c r="Q64" i="1"/>
  <c r="W119" i="1"/>
  <c r="AD60" i="1"/>
  <c r="AC106" i="1"/>
  <c r="AH127" i="1"/>
  <c r="AI86" i="1"/>
  <c r="J55" i="1"/>
  <c r="P114" i="1"/>
  <c r="AC73" i="1"/>
  <c r="AH9" i="1"/>
  <c r="I25" i="1"/>
  <c r="AB97" i="1"/>
  <c r="F26" i="1"/>
  <c r="S64" i="1"/>
  <c r="L154" i="1"/>
  <c r="E44" i="1"/>
  <c r="O98" i="1"/>
  <c r="S36" i="1"/>
  <c r="Z28" i="1"/>
  <c r="V158" i="1"/>
  <c r="AH55" i="1"/>
  <c r="AI109" i="1"/>
  <c r="K62" i="1"/>
  <c r="AG23" i="1"/>
  <c r="W137" i="1"/>
  <c r="R57" i="1"/>
  <c r="W63" i="1"/>
  <c r="I157" i="1"/>
  <c r="J136" i="1"/>
  <c r="K127" i="1"/>
  <c r="V71" i="1"/>
  <c r="T121" i="1"/>
  <c r="AA30" i="1"/>
  <c r="Y134" i="1"/>
  <c r="W62" i="1"/>
  <c r="AB156" i="1"/>
  <c r="M42" i="1"/>
  <c r="R134" i="1"/>
  <c r="AE79" i="1"/>
  <c r="F75" i="1"/>
  <c r="AA126" i="1"/>
  <c r="W88" i="1"/>
  <c r="J35" i="1"/>
  <c r="J141" i="1"/>
  <c r="F132" i="1"/>
  <c r="AI104" i="1"/>
  <c r="H107" i="1"/>
  <c r="U121" i="1"/>
  <c r="AD106" i="1"/>
  <c r="AA61" i="1"/>
  <c r="AE47" i="1"/>
  <c r="Z54" i="1"/>
  <c r="L62" i="1"/>
  <c r="Y132" i="1"/>
  <c r="Y107" i="1"/>
  <c r="AB80" i="1"/>
  <c r="X7" i="1"/>
  <c r="E55" i="1"/>
  <c r="Q127" i="1"/>
  <c r="AA112" i="1"/>
  <c r="O15" i="1"/>
  <c r="T108" i="1"/>
  <c r="N96" i="1"/>
  <c r="U26" i="1"/>
  <c r="L74" i="1"/>
  <c r="AG72" i="1"/>
  <c r="W58" i="1"/>
  <c r="T95" i="1"/>
  <c r="N53" i="1"/>
  <c r="X84" i="1"/>
  <c r="N12" i="1"/>
  <c r="AB129" i="1"/>
  <c r="M88" i="1"/>
  <c r="V143" i="1"/>
  <c r="I129" i="1"/>
  <c r="AE30" i="1"/>
  <c r="L94" i="1"/>
  <c r="U142" i="1"/>
  <c r="V77" i="1"/>
  <c r="AH98" i="1"/>
  <c r="Q43" i="1"/>
  <c r="AE146" i="1"/>
  <c r="W19" i="1"/>
  <c r="I100" i="1"/>
  <c r="N63" i="1"/>
  <c r="N116" i="1"/>
  <c r="AD51" i="1"/>
  <c r="J123" i="1"/>
  <c r="J25" i="1"/>
  <c r="AF117" i="1"/>
  <c r="AH32" i="1"/>
  <c r="N89" i="1"/>
  <c r="Z88" i="1"/>
  <c r="C60" i="1"/>
  <c r="AD70" i="1"/>
  <c r="T143" i="1"/>
  <c r="K108" i="1"/>
  <c r="AD97" i="1"/>
  <c r="E48" i="1"/>
  <c r="Y43" i="1"/>
  <c r="N112" i="1"/>
  <c r="N54" i="1"/>
  <c r="M65" i="1"/>
  <c r="N40" i="1"/>
  <c r="D19" i="1"/>
  <c r="AF83" i="1"/>
  <c r="K41" i="1"/>
  <c r="AA86" i="1"/>
  <c r="F87" i="1"/>
  <c r="E33" i="1"/>
  <c r="V94" i="1"/>
  <c r="G101" i="1"/>
  <c r="G95" i="1"/>
  <c r="AF18" i="1"/>
  <c r="AG140" i="1"/>
  <c r="AB27" i="1"/>
  <c r="Q117" i="1"/>
  <c r="C27" i="1"/>
  <c r="J50" i="1"/>
  <c r="J81" i="1"/>
  <c r="H114" i="1"/>
  <c r="F85" i="1"/>
  <c r="S3" i="1"/>
  <c r="F27" i="1"/>
  <c r="I131" i="1"/>
  <c r="F111" i="1"/>
  <c r="K93" i="1"/>
  <c r="AB72" i="1"/>
  <c r="R43" i="1"/>
  <c r="T98" i="1"/>
  <c r="U86" i="1"/>
  <c r="I42" i="1"/>
  <c r="AB145" i="1"/>
  <c r="AC104" i="1"/>
  <c r="T65" i="1"/>
  <c r="AA45" i="1"/>
  <c r="AH35" i="1"/>
  <c r="AF16" i="1"/>
  <c r="AA148" i="1"/>
  <c r="AH57" i="1"/>
  <c r="AB21" i="1"/>
  <c r="AI62" i="1"/>
  <c r="AA59" i="1"/>
  <c r="W149" i="1"/>
  <c r="Q108" i="1"/>
  <c r="Q131" i="1"/>
  <c r="V141" i="1"/>
  <c r="H70" i="1"/>
  <c r="O50" i="1"/>
  <c r="V54" i="1"/>
  <c r="F148" i="1"/>
  <c r="W133" i="1"/>
  <c r="N135" i="1"/>
  <c r="AC28" i="1"/>
  <c r="G22" i="1"/>
  <c r="Z95" i="1"/>
  <c r="AA43" i="1"/>
  <c r="U151" i="1"/>
  <c r="AI108" i="1"/>
  <c r="AA115" i="1"/>
  <c r="AH18" i="1"/>
  <c r="AE74" i="1"/>
  <c r="S19" i="1"/>
  <c r="Q51" i="1"/>
  <c r="R76" i="1"/>
  <c r="H102" i="1"/>
  <c r="P98" i="1"/>
  <c r="E136" i="1"/>
  <c r="J120" i="1"/>
  <c r="AI64" i="1"/>
  <c r="W68" i="1"/>
  <c r="AD12" i="1"/>
  <c r="G34" i="1"/>
  <c r="V34" i="1"/>
  <c r="O141" i="1"/>
  <c r="U13" i="1"/>
  <c r="Y80" i="1"/>
  <c r="AH115" i="1"/>
  <c r="D132" i="1"/>
  <c r="AE98" i="1"/>
  <c r="H86" i="1"/>
  <c r="Z73" i="1"/>
  <c r="T111" i="1"/>
  <c r="Z146" i="1"/>
  <c r="J19" i="1"/>
  <c r="AA128" i="1"/>
  <c r="F15" i="1"/>
  <c r="AA87" i="1"/>
  <c r="AG103" i="1"/>
  <c r="AA37" i="1"/>
  <c r="O39" i="1"/>
  <c r="D153" i="1"/>
  <c r="W71" i="1"/>
  <c r="L84" i="1"/>
  <c r="C117" i="1"/>
  <c r="E79" i="1"/>
  <c r="Z102" i="1"/>
  <c r="AF68" i="1"/>
  <c r="I12" i="1"/>
  <c r="F121" i="1"/>
  <c r="H116" i="1"/>
  <c r="J14" i="1"/>
  <c r="V27" i="1"/>
  <c r="AI68" i="1"/>
  <c r="I33" i="1"/>
  <c r="L77" i="1"/>
  <c r="AG110" i="1"/>
  <c r="AE11" i="1"/>
  <c r="H79" i="1"/>
  <c r="AA134" i="1"/>
  <c r="X62" i="1"/>
  <c r="AB98" i="1"/>
  <c r="W82" i="1"/>
  <c r="R34" i="1"/>
  <c r="J109" i="1"/>
  <c r="AG18" i="1"/>
  <c r="Y102" i="1"/>
  <c r="AD140" i="1"/>
  <c r="AB150" i="1"/>
  <c r="R89" i="1"/>
  <c r="L155" i="1"/>
  <c r="E70" i="1"/>
  <c r="Q145" i="1"/>
  <c r="S69" i="1"/>
  <c r="V151" i="1"/>
  <c r="S31" i="1"/>
  <c r="K79" i="1"/>
  <c r="AD23" i="1"/>
  <c r="S107" i="1"/>
  <c r="Q109" i="1"/>
  <c r="P33" i="1"/>
  <c r="P31" i="1"/>
  <c r="S130" i="1"/>
  <c r="H49" i="1"/>
  <c r="W75" i="1"/>
  <c r="I156" i="1"/>
  <c r="AC86" i="1"/>
  <c r="T80" i="1"/>
  <c r="R12" i="1"/>
  <c r="S78" i="1"/>
  <c r="O129" i="1"/>
  <c r="AA94" i="1"/>
  <c r="AG21" i="1"/>
  <c r="AI78" i="1"/>
  <c r="E83" i="1"/>
  <c r="AF145" i="1"/>
  <c r="E126" i="1"/>
  <c r="F68" i="1"/>
  <c r="S134" i="1"/>
  <c r="Q70" i="1"/>
  <c r="Y144" i="1"/>
  <c r="V65" i="1"/>
  <c r="E99" i="1"/>
  <c r="L17" i="1"/>
  <c r="K51" i="1"/>
  <c r="S137" i="1"/>
  <c r="J146" i="1"/>
  <c r="N92" i="1"/>
  <c r="AG53" i="1"/>
  <c r="H149" i="1"/>
  <c r="T81" i="1"/>
  <c r="AG59" i="1"/>
  <c r="F98" i="1"/>
  <c r="AA78" i="1"/>
  <c r="AD96" i="1"/>
  <c r="AD126" i="1"/>
  <c r="T119" i="1"/>
  <c r="AG26" i="1"/>
  <c r="J104" i="1"/>
  <c r="AG94" i="1"/>
  <c r="L28" i="1"/>
  <c r="AE38" i="1"/>
  <c r="F13" i="1"/>
  <c r="AF43" i="1"/>
  <c r="AE20" i="1"/>
  <c r="X14" i="1"/>
  <c r="I133" i="1"/>
  <c r="J112" i="1"/>
  <c r="J107" i="1"/>
  <c r="W18" i="1"/>
  <c r="AB93" i="1"/>
  <c r="W4" i="1"/>
  <c r="Q45" i="1"/>
  <c r="AB105" i="1"/>
  <c r="AD90" i="1"/>
  <c r="J122" i="1"/>
  <c r="F137" i="1"/>
  <c r="Z2" i="1"/>
  <c r="H18" i="1"/>
  <c r="V103" i="1"/>
  <c r="O78" i="1"/>
  <c r="J94" i="1"/>
  <c r="O6" i="1"/>
  <c r="H59" i="1"/>
  <c r="Q87" i="1"/>
  <c r="O80" i="1"/>
  <c r="AE154" i="1"/>
  <c r="X105" i="1"/>
  <c r="L139" i="1"/>
  <c r="P50" i="1"/>
  <c r="Y115" i="1"/>
  <c r="AF71" i="1"/>
  <c r="Z114" i="1"/>
  <c r="R74" i="1"/>
  <c r="Q97" i="1"/>
  <c r="F81" i="1"/>
  <c r="Q116" i="1"/>
  <c r="AB58" i="1"/>
  <c r="AB11" i="1"/>
  <c r="V90" i="1"/>
  <c r="AF7" i="1"/>
  <c r="AD4" i="1"/>
  <c r="L16" i="1"/>
  <c r="W113" i="1"/>
  <c r="AH144" i="1"/>
  <c r="K123" i="1"/>
  <c r="AE16" i="1"/>
  <c r="AH85" i="1"/>
  <c r="AB76" i="1"/>
  <c r="AC97" i="1"/>
  <c r="Y13" i="1"/>
  <c r="AG12" i="1"/>
  <c r="K102" i="1"/>
  <c r="AI47" i="1"/>
  <c r="AB32" i="1"/>
  <c r="I20" i="1"/>
  <c r="O76" i="1"/>
  <c r="L13" i="1"/>
  <c r="G121" i="1"/>
  <c r="F118" i="1"/>
  <c r="AB55" i="1"/>
  <c r="V137" i="1"/>
  <c r="Z36" i="1"/>
  <c r="AD27" i="1"/>
  <c r="D16" i="1"/>
  <c r="K96" i="1"/>
  <c r="AF60" i="1"/>
  <c r="N91" i="1"/>
  <c r="E50" i="1"/>
  <c r="W66" i="1"/>
  <c r="V47" i="1"/>
  <c r="E101" i="1"/>
  <c r="AB158" i="1"/>
  <c r="AB83" i="1"/>
  <c r="I67" i="1"/>
  <c r="K128" i="1"/>
  <c r="W122" i="1"/>
  <c r="H11" i="1"/>
  <c r="U22" i="1"/>
  <c r="Y145" i="1"/>
  <c r="R55" i="1"/>
  <c r="R73" i="1"/>
  <c r="AG3" i="1"/>
  <c r="AD59" i="1"/>
  <c r="N154" i="1"/>
  <c r="V14" i="1"/>
  <c r="W28" i="1"/>
  <c r="T140" i="1"/>
  <c r="S143" i="1"/>
  <c r="J118" i="1"/>
  <c r="AE9" i="1"/>
  <c r="K87" i="1"/>
  <c r="AB38" i="1"/>
  <c r="AE102" i="1"/>
  <c r="AI134" i="1"/>
  <c r="AG88" i="1"/>
  <c r="K124" i="1"/>
  <c r="Z124" i="1"/>
  <c r="P60" i="1"/>
  <c r="U67" i="1"/>
  <c r="Y42" i="1"/>
  <c r="I108" i="1"/>
  <c r="AC95" i="1"/>
  <c r="X25" i="1"/>
  <c r="G40" i="1"/>
  <c r="AF61" i="1"/>
  <c r="I29" i="1"/>
  <c r="E6" i="1"/>
  <c r="Q134" i="1"/>
  <c r="AF113" i="1"/>
  <c r="Y25" i="1"/>
  <c r="K8" i="1"/>
  <c r="Z148" i="1"/>
  <c r="AB88" i="1"/>
  <c r="V133" i="1"/>
  <c r="K82" i="1"/>
  <c r="K126" i="1"/>
  <c r="S77" i="1"/>
  <c r="Y58" i="1"/>
  <c r="AA97" i="1"/>
  <c r="O152" i="1"/>
  <c r="AE150" i="1"/>
  <c r="P48" i="1"/>
  <c r="K121" i="1"/>
  <c r="C140" i="1"/>
  <c r="P147" i="1"/>
  <c r="AE22" i="1"/>
  <c r="AG8" i="1"/>
  <c r="M23" i="1"/>
  <c r="R68" i="1"/>
  <c r="Q102" i="1"/>
  <c r="Y146" i="1"/>
  <c r="AH48" i="1"/>
  <c r="T4" i="1"/>
  <c r="G55" i="1"/>
  <c r="R130" i="1"/>
  <c r="T5" i="1"/>
  <c r="AG55" i="1"/>
  <c r="Q103" i="1"/>
  <c r="AG66" i="1"/>
  <c r="Z60" i="1"/>
  <c r="M28" i="1"/>
  <c r="H29" i="1"/>
  <c r="U148" i="1"/>
  <c r="J57" i="1"/>
  <c r="I149" i="1"/>
  <c r="AA53" i="1"/>
  <c r="F80" i="1"/>
  <c r="AH68" i="1"/>
  <c r="AB47" i="1"/>
  <c r="Q135" i="1"/>
  <c r="N156" i="1"/>
  <c r="M82" i="1"/>
  <c r="C129" i="1"/>
  <c r="S55" i="1"/>
  <c r="G51" i="1"/>
  <c r="Z18" i="1"/>
  <c r="AG78" i="1"/>
  <c r="AE39" i="1"/>
  <c r="P74" i="1"/>
  <c r="AC158" i="1"/>
  <c r="M32" i="1"/>
  <c r="R90" i="1"/>
  <c r="S53" i="1"/>
  <c r="X37" i="1"/>
  <c r="V101" i="1"/>
  <c r="U93" i="1"/>
  <c r="L152" i="1"/>
  <c r="AB104" i="1"/>
  <c r="P37" i="1"/>
  <c r="Q137" i="1"/>
  <c r="V86" i="1"/>
  <c r="AI84" i="1"/>
  <c r="AD87" i="1"/>
  <c r="J44" i="1"/>
  <c r="W106" i="1"/>
  <c r="D45" i="1"/>
  <c r="U126" i="1"/>
  <c r="AD108" i="1"/>
  <c r="AH21" i="1"/>
  <c r="AH59" i="1"/>
  <c r="U82" i="1"/>
  <c r="U72" i="1"/>
  <c r="D22" i="1"/>
  <c r="S109" i="1"/>
  <c r="AB23" i="1"/>
  <c r="W64" i="1"/>
  <c r="AC19" i="1"/>
  <c r="U123" i="1"/>
  <c r="S157" i="1"/>
  <c r="E87" i="1"/>
  <c r="AH62" i="1"/>
  <c r="D30" i="1"/>
  <c r="G71" i="1"/>
  <c r="Z78" i="1"/>
  <c r="AH52" i="1"/>
  <c r="AA85" i="1"/>
  <c r="O111" i="1"/>
  <c r="G13" i="1"/>
  <c r="T126" i="1"/>
  <c r="D103" i="1"/>
  <c r="U9" i="1"/>
  <c r="AI98" i="1"/>
  <c r="H69" i="1"/>
  <c r="AH126" i="1"/>
  <c r="J32" i="1"/>
  <c r="V99" i="1"/>
  <c r="R142" i="1"/>
  <c r="AG44" i="1"/>
  <c r="AE3" i="1"/>
  <c r="W6" i="1"/>
  <c r="C98" i="1"/>
  <c r="AF137" i="1"/>
  <c r="AA105" i="1"/>
  <c r="AE32" i="1"/>
  <c r="AI99" i="1"/>
  <c r="K48" i="1"/>
  <c r="M157" i="1"/>
  <c r="Z40" i="1"/>
  <c r="E40" i="1"/>
  <c r="Q141" i="1"/>
  <c r="Y135" i="1"/>
  <c r="H54" i="1"/>
  <c r="I134" i="1"/>
  <c r="Z3" i="1"/>
  <c r="AI59" i="1"/>
  <c r="L63" i="1"/>
  <c r="I139" i="1"/>
  <c r="O57" i="1"/>
  <c r="L40" i="1"/>
  <c r="Q130" i="1"/>
  <c r="Y155" i="1"/>
  <c r="N103" i="1"/>
  <c r="AI119" i="1"/>
  <c r="P8" i="1"/>
  <c r="AI11" i="1"/>
  <c r="G147" i="1"/>
  <c r="O106" i="1"/>
  <c r="H95" i="1"/>
  <c r="AF73" i="1"/>
  <c r="H153" i="1"/>
  <c r="K116" i="1"/>
  <c r="AD8" i="1"/>
  <c r="C96" i="1"/>
  <c r="H36" i="1"/>
  <c r="R92" i="1"/>
  <c r="N33" i="1"/>
  <c r="C152" i="1"/>
  <c r="AD147" i="1"/>
  <c r="L56" i="1"/>
  <c r="S59" i="1"/>
  <c r="AC25" i="1"/>
  <c r="AC44" i="1"/>
  <c r="J140" i="1"/>
  <c r="Z117" i="1"/>
  <c r="AC100" i="1"/>
  <c r="V120" i="1"/>
  <c r="X110" i="1"/>
  <c r="AC22" i="1"/>
  <c r="AH42" i="1"/>
  <c r="T77" i="1"/>
  <c r="Y97" i="1"/>
  <c r="P45" i="1"/>
  <c r="C59" i="1"/>
  <c r="AD53" i="1"/>
  <c r="O28" i="1"/>
  <c r="W41" i="1"/>
  <c r="I153" i="1"/>
  <c r="P72" i="1"/>
  <c r="D135" i="1"/>
  <c r="K59" i="1"/>
  <c r="P121" i="1"/>
  <c r="N84" i="1"/>
  <c r="K2" i="1"/>
  <c r="P11" i="1"/>
  <c r="U96" i="1"/>
  <c r="AB28" i="1"/>
  <c r="C95" i="1"/>
  <c r="AF49" i="1"/>
  <c r="F95" i="1"/>
  <c r="AD133" i="1"/>
  <c r="X6" i="1"/>
  <c r="AH91" i="1"/>
  <c r="U69" i="1"/>
  <c r="F71" i="1"/>
  <c r="I103" i="1"/>
  <c r="G125" i="1"/>
  <c r="V60" i="1"/>
  <c r="H65" i="1"/>
  <c r="T142" i="1"/>
  <c r="AD65" i="1"/>
  <c r="T59" i="1"/>
  <c r="AH26" i="1"/>
  <c r="AH114" i="1"/>
  <c r="G137" i="1"/>
  <c r="N58" i="1"/>
  <c r="W148" i="1"/>
  <c r="AA129" i="1"/>
  <c r="J49" i="1"/>
  <c r="J92" i="1"/>
  <c r="D48" i="1"/>
  <c r="AI12" i="1"/>
  <c r="AC58" i="1"/>
  <c r="AF89" i="1"/>
  <c r="S25" i="1"/>
  <c r="AB89" i="1"/>
  <c r="T114" i="1"/>
  <c r="AF28" i="1"/>
  <c r="E72" i="1"/>
  <c r="M111" i="1"/>
  <c r="AA39" i="1"/>
  <c r="W97" i="1"/>
  <c r="AD128" i="1"/>
  <c r="T20" i="1"/>
  <c r="I39" i="1"/>
  <c r="C5" i="1"/>
  <c r="AD117" i="1"/>
  <c r="Y44" i="1"/>
  <c r="Q115" i="1"/>
  <c r="O120" i="1"/>
  <c r="Z6" i="1"/>
  <c r="I113" i="1"/>
  <c r="T137" i="1"/>
  <c r="AF59" i="1"/>
  <c r="Z106" i="1"/>
  <c r="AC66" i="1"/>
  <c r="N150" i="1"/>
  <c r="M74" i="1"/>
  <c r="G14" i="1"/>
  <c r="H17" i="1"/>
  <c r="AD50" i="1"/>
  <c r="E34" i="1"/>
  <c r="Y32" i="1"/>
  <c r="AE18" i="1"/>
  <c r="AF88" i="1"/>
  <c r="M13" i="1"/>
  <c r="Y112" i="1"/>
  <c r="R124" i="1"/>
  <c r="X104" i="1"/>
  <c r="Y27" i="1"/>
  <c r="G15" i="1"/>
  <c r="V72" i="1"/>
  <c r="V93" i="1"/>
  <c r="H14" i="1"/>
  <c r="X13" i="1"/>
  <c r="W154" i="1"/>
  <c r="H40" i="1"/>
  <c r="AA118" i="1"/>
  <c r="P110" i="1"/>
  <c r="P47" i="1"/>
  <c r="P152" i="1"/>
  <c r="AG47" i="1"/>
  <c r="Z58" i="1"/>
  <c r="AA68" i="1"/>
  <c r="AH45" i="1"/>
  <c r="Q119" i="1"/>
  <c r="Y136" i="1"/>
  <c r="AB90" i="1"/>
  <c r="D89" i="1"/>
  <c r="Y69" i="1"/>
  <c r="N67" i="1"/>
  <c r="AH12" i="1"/>
  <c r="T2" i="1"/>
  <c r="G60" i="1"/>
  <c r="R64" i="1"/>
  <c r="AG67" i="1"/>
  <c r="V136" i="1"/>
  <c r="K129" i="1"/>
  <c r="AB136" i="1"/>
  <c r="AA103" i="1"/>
  <c r="AH43" i="1"/>
  <c r="N22" i="1"/>
  <c r="AI65" i="1"/>
  <c r="K75" i="1"/>
  <c r="W2" i="1"/>
  <c r="U60" i="1"/>
  <c r="P132" i="1"/>
  <c r="P29" i="1"/>
  <c r="AI74" i="1"/>
  <c r="AF52" i="1"/>
  <c r="X93" i="1"/>
  <c r="AA58" i="1"/>
  <c r="P18" i="1"/>
  <c r="P35" i="1"/>
  <c r="P43" i="1"/>
  <c r="E14" i="1"/>
  <c r="Y21" i="1"/>
  <c r="Y12" i="1"/>
  <c r="AF24" i="1"/>
  <c r="W55" i="1"/>
  <c r="AF98" i="1"/>
  <c r="M76" i="1"/>
  <c r="I81" i="1"/>
  <c r="AF94" i="1"/>
  <c r="Y67" i="1"/>
  <c r="G135" i="1"/>
  <c r="K147" i="1"/>
  <c r="H152" i="1"/>
  <c r="AH10" i="1"/>
  <c r="R5" i="1"/>
  <c r="D60" i="1"/>
  <c r="Y109" i="1"/>
  <c r="AI29" i="1"/>
  <c r="D33" i="1"/>
  <c r="AF65" i="1"/>
  <c r="X100" i="1"/>
  <c r="M31" i="1"/>
  <c r="Z43" i="1"/>
  <c r="AF111" i="1"/>
  <c r="E156" i="1"/>
  <c r="AD98" i="1"/>
  <c r="Y149" i="1"/>
  <c r="AG133" i="1"/>
  <c r="D64" i="1"/>
  <c r="J148" i="1"/>
  <c r="Q50" i="1"/>
  <c r="V38" i="1"/>
  <c r="C155" i="1"/>
  <c r="AE28" i="1"/>
  <c r="Q140" i="1"/>
  <c r="D67" i="1"/>
  <c r="AC21" i="1"/>
  <c r="K69" i="1"/>
  <c r="K14" i="1"/>
  <c r="AF37" i="1"/>
  <c r="F14" i="1"/>
  <c r="AH135" i="1"/>
  <c r="X151" i="1"/>
  <c r="Z101" i="1"/>
  <c r="S118" i="1"/>
  <c r="K150" i="1"/>
  <c r="AB152" i="1"/>
  <c r="Q3" i="1"/>
  <c r="L90" i="1"/>
  <c r="L32" i="1"/>
  <c r="AG40" i="1"/>
  <c r="X77" i="1"/>
  <c r="K152" i="1"/>
  <c r="T6" i="1"/>
  <c r="AE87" i="1"/>
  <c r="AI111" i="1"/>
  <c r="E102" i="1"/>
  <c r="AB92" i="1"/>
  <c r="P142" i="1"/>
  <c r="AC72" i="1"/>
  <c r="U52" i="1"/>
  <c r="L66" i="1"/>
  <c r="AD18" i="1"/>
  <c r="D95" i="1"/>
  <c r="O93" i="1"/>
  <c r="P156" i="1"/>
  <c r="C62" i="1"/>
  <c r="P54" i="1"/>
  <c r="X153" i="1"/>
  <c r="N62" i="1"/>
  <c r="D18" i="1"/>
  <c r="AA156" i="1"/>
  <c r="AI141" i="1"/>
  <c r="M77" i="1"/>
  <c r="R108" i="1"/>
  <c r="L157" i="1"/>
  <c r="P62" i="1"/>
  <c r="AD3" i="1"/>
  <c r="AB74" i="1"/>
  <c r="J53" i="1"/>
  <c r="AB16" i="1"/>
  <c r="D148" i="1"/>
  <c r="T92" i="1"/>
  <c r="AD102" i="1"/>
  <c r="AG60" i="1"/>
  <c r="F123" i="1"/>
  <c r="Q85" i="1"/>
  <c r="K98" i="1"/>
  <c r="O107" i="1"/>
  <c r="V83" i="1"/>
  <c r="P69" i="1"/>
  <c r="Y96" i="1"/>
  <c r="L12" i="1"/>
  <c r="C35" i="1"/>
  <c r="X128" i="1"/>
  <c r="M35" i="1"/>
  <c r="R149" i="1"/>
  <c r="X20" i="1"/>
  <c r="AE62" i="1"/>
  <c r="S8" i="1"/>
  <c r="H143" i="1"/>
  <c r="T29" i="1"/>
  <c r="X116" i="1"/>
  <c r="O114" i="1"/>
  <c r="Z122" i="1"/>
  <c r="P107" i="1"/>
  <c r="H30" i="1"/>
  <c r="T30" i="1"/>
  <c r="C80" i="1"/>
  <c r="AG116" i="1"/>
  <c r="G36" i="1"/>
  <c r="L115" i="1"/>
  <c r="Z104" i="1"/>
  <c r="J157" i="1"/>
  <c r="J59" i="1"/>
  <c r="O4" i="1"/>
  <c r="M101" i="1"/>
  <c r="Z47" i="1"/>
  <c r="P24" i="1"/>
  <c r="AI106" i="1"/>
  <c r="AC133" i="1"/>
  <c r="AA99" i="1"/>
  <c r="J34" i="1"/>
  <c r="F83" i="1"/>
  <c r="I106" i="1"/>
  <c r="V15" i="1"/>
  <c r="AI53" i="1"/>
  <c r="AF15" i="1"/>
  <c r="L135" i="1"/>
  <c r="N110" i="1"/>
  <c r="W86" i="1"/>
  <c r="K95" i="1"/>
  <c r="I51" i="1"/>
  <c r="C116" i="1"/>
  <c r="X102" i="1"/>
  <c r="M71" i="1"/>
  <c r="M8" i="1"/>
  <c r="H57" i="1"/>
  <c r="G103" i="1"/>
  <c r="Q67" i="1"/>
  <c r="G59" i="1"/>
  <c r="AC60" i="1"/>
  <c r="Y48" i="1"/>
  <c r="O87" i="1"/>
  <c r="U78" i="1"/>
  <c r="R15" i="1"/>
  <c r="L75" i="1"/>
  <c r="I13" i="1"/>
  <c r="AA108" i="1"/>
  <c r="I10" i="1"/>
  <c r="H78" i="1"/>
  <c r="AH156" i="1"/>
  <c r="Z130" i="1"/>
  <c r="H74" i="1"/>
  <c r="AD26" i="1"/>
  <c r="X81" i="1"/>
  <c r="K70" i="1"/>
  <c r="Y2" i="1"/>
  <c r="AG148" i="1"/>
  <c r="AB35" i="1"/>
  <c r="R86" i="1"/>
  <c r="U49" i="1"/>
  <c r="P28" i="1"/>
  <c r="R143" i="1"/>
  <c r="AC145" i="1"/>
  <c r="G72" i="1"/>
  <c r="Z13" i="1"/>
  <c r="Q136" i="1"/>
  <c r="AI77" i="1"/>
  <c r="AE42" i="1"/>
  <c r="U40" i="1"/>
  <c r="AA147" i="1"/>
  <c r="T146" i="1"/>
  <c r="AE149" i="1"/>
  <c r="P94" i="1"/>
  <c r="U2" i="1"/>
  <c r="K30" i="1"/>
  <c r="M64" i="1"/>
  <c r="AE157" i="1"/>
  <c r="J67" i="1"/>
  <c r="M155" i="1"/>
  <c r="P150" i="1"/>
  <c r="D38" i="1"/>
  <c r="V130" i="1"/>
  <c r="I146" i="1"/>
  <c r="AA139" i="1"/>
  <c r="G43" i="1"/>
  <c r="K6" i="1"/>
  <c r="AA11" i="1"/>
  <c r="J82" i="1"/>
  <c r="M4" i="1"/>
  <c r="E112" i="1"/>
  <c r="AE63" i="1"/>
  <c r="E42" i="1"/>
  <c r="I123" i="1"/>
  <c r="V13" i="1"/>
  <c r="T27" i="1"/>
  <c r="AG139" i="1"/>
  <c r="X149" i="1"/>
  <c r="H32" i="1"/>
  <c r="V17" i="1"/>
  <c r="AG117" i="1"/>
  <c r="Z4" i="1"/>
  <c r="AF90" i="1"/>
  <c r="AI37" i="1"/>
  <c r="M107" i="1"/>
  <c r="U55" i="1"/>
  <c r="AE24" i="1"/>
  <c r="AC37" i="1"/>
  <c r="P68" i="1"/>
  <c r="P80" i="1"/>
  <c r="Z26" i="1"/>
  <c r="N25" i="1"/>
  <c r="I126" i="1"/>
  <c r="G99" i="1"/>
  <c r="S135" i="1"/>
  <c r="AF121" i="1"/>
  <c r="P91" i="1"/>
  <c r="Q20" i="1"/>
  <c r="Y78" i="1"/>
  <c r="Q2" i="1"/>
  <c r="AA91" i="1"/>
  <c r="W145" i="1"/>
  <c r="AA38" i="1"/>
  <c r="O147" i="1"/>
  <c r="D50" i="1"/>
  <c r="K120" i="1"/>
  <c r="AA64" i="1"/>
  <c r="O14" i="1"/>
  <c r="D125" i="1"/>
  <c r="G127" i="1"/>
  <c r="M150" i="1"/>
  <c r="W94" i="1"/>
  <c r="AA101" i="1"/>
  <c r="Y19" i="1"/>
  <c r="R153" i="1"/>
  <c r="O2" i="1"/>
  <c r="Q142" i="1"/>
  <c r="AH95" i="1"/>
  <c r="T154" i="1"/>
  <c r="V45" i="1"/>
  <c r="I52" i="1"/>
  <c r="D68" i="1"/>
  <c r="G98" i="1"/>
  <c r="K34" i="1"/>
  <c r="F145" i="1"/>
  <c r="J72" i="1"/>
  <c r="AA72" i="1"/>
  <c r="AI30" i="1"/>
  <c r="K117" i="1"/>
  <c r="R123" i="1"/>
  <c r="N71" i="1"/>
  <c r="AF21" i="1"/>
  <c r="AC138" i="1"/>
  <c r="Z126" i="1"/>
  <c r="M34" i="1"/>
  <c r="P96" i="1"/>
  <c r="AF14" i="1"/>
  <c r="I26" i="1"/>
  <c r="U32" i="1"/>
  <c r="X39" i="1"/>
  <c r="S153" i="1"/>
  <c r="I28" i="1"/>
  <c r="E74" i="1"/>
  <c r="AD89" i="1"/>
  <c r="U23" i="1"/>
  <c r="AB19" i="1"/>
  <c r="M90" i="1"/>
  <c r="I150" i="1"/>
  <c r="Y94" i="1"/>
  <c r="AD73" i="1"/>
  <c r="AG63" i="1"/>
  <c r="AH146" i="1"/>
  <c r="F94" i="1"/>
  <c r="AD84" i="1"/>
  <c r="G143" i="1"/>
  <c r="AI32" i="1"/>
  <c r="Z62" i="1"/>
  <c r="Q107" i="1"/>
  <c r="AC157" i="1"/>
  <c r="S93" i="1"/>
  <c r="J36" i="1"/>
  <c r="X107" i="1"/>
  <c r="N94" i="1"/>
  <c r="E47" i="1"/>
  <c r="AI124" i="1"/>
  <c r="C14" i="1"/>
  <c r="AA100" i="1"/>
  <c r="H47" i="1"/>
  <c r="R127" i="1"/>
  <c r="AB157" i="1"/>
  <c r="C34" i="1"/>
  <c r="AG125" i="1"/>
  <c r="H119" i="1"/>
  <c r="N102" i="1"/>
  <c r="N97" i="1"/>
  <c r="U87" i="1"/>
  <c r="AC34" i="1"/>
  <c r="AG157" i="1"/>
  <c r="T39" i="1"/>
  <c r="AA116" i="1"/>
  <c r="AD74" i="1"/>
  <c r="AF74" i="1"/>
  <c r="W143" i="1"/>
  <c r="R71" i="1"/>
  <c r="S79" i="1"/>
  <c r="G37" i="1"/>
  <c r="W51" i="1"/>
  <c r="AF3" i="1"/>
  <c r="K153" i="1"/>
  <c r="AA49" i="1"/>
  <c r="E64" i="1"/>
  <c r="AA143" i="1"/>
  <c r="Y157" i="1"/>
  <c r="E148" i="1"/>
  <c r="L64" i="1"/>
  <c r="AB137" i="1"/>
  <c r="T157" i="1"/>
  <c r="E123" i="1"/>
  <c r="AG76" i="1"/>
  <c r="AC12" i="1"/>
  <c r="AH136" i="1"/>
  <c r="I90" i="1"/>
  <c r="AC118" i="1"/>
  <c r="O143" i="1"/>
  <c r="V59" i="1"/>
  <c r="AI43" i="1"/>
  <c r="L83" i="1"/>
  <c r="AA46" i="1"/>
  <c r="C37" i="1"/>
  <c r="D128" i="1"/>
  <c r="AD56" i="1"/>
  <c r="G75" i="1"/>
  <c r="V92" i="1"/>
  <c r="R59" i="1"/>
  <c r="L114" i="1"/>
  <c r="X155" i="1"/>
  <c r="AH100" i="1"/>
  <c r="AF30" i="1"/>
  <c r="C45" i="1"/>
  <c r="L128" i="1"/>
  <c r="AE35" i="1"/>
  <c r="AG87" i="1"/>
  <c r="K67" i="1"/>
  <c r="AC142" i="1"/>
  <c r="C29" i="1"/>
  <c r="AD92" i="1"/>
  <c r="AF78" i="1"/>
  <c r="F23" i="1"/>
  <c r="AD47" i="1"/>
  <c r="AD137" i="1"/>
  <c r="U34" i="1"/>
  <c r="C61" i="1"/>
  <c r="P76" i="1"/>
  <c r="D90" i="1"/>
  <c r="G26" i="1"/>
  <c r="Q5" i="1"/>
  <c r="L124" i="1"/>
  <c r="H31" i="1"/>
  <c r="T115" i="1"/>
  <c r="Q39" i="1"/>
  <c r="AB37" i="1"/>
  <c r="V106" i="1"/>
  <c r="X22" i="1"/>
  <c r="AC5" i="1"/>
  <c r="AD158" i="1"/>
  <c r="F116" i="1"/>
  <c r="AC114" i="1"/>
  <c r="K136" i="1"/>
  <c r="AF124" i="1"/>
  <c r="D112" i="1"/>
  <c r="H6" i="1"/>
  <c r="AI137" i="1"/>
  <c r="AI126" i="1"/>
  <c r="V70" i="1"/>
  <c r="AI143" i="1"/>
  <c r="H110" i="1"/>
  <c r="K94" i="1"/>
  <c r="AF48" i="1"/>
  <c r="H50" i="1"/>
  <c r="AH142" i="1"/>
  <c r="I53" i="1"/>
  <c r="AB12" i="1"/>
  <c r="H155" i="1"/>
  <c r="M128" i="1"/>
  <c r="O77" i="1"/>
  <c r="L98" i="1"/>
  <c r="C105" i="1"/>
  <c r="N149" i="1"/>
  <c r="Z115" i="1"/>
  <c r="F11" i="1"/>
  <c r="AB68" i="1"/>
  <c r="D29" i="1"/>
  <c r="Y87" i="1"/>
  <c r="H137" i="1"/>
  <c r="S6" i="1"/>
  <c r="D119" i="1"/>
  <c r="L27" i="1"/>
  <c r="AC38" i="1"/>
  <c r="K12" i="1"/>
  <c r="AI128" i="1"/>
  <c r="C87" i="1"/>
  <c r="Y28" i="1"/>
  <c r="N24" i="1"/>
  <c r="N28" i="1"/>
  <c r="AE71" i="1"/>
  <c r="N101" i="1"/>
  <c r="D99" i="1"/>
  <c r="AE60" i="1"/>
  <c r="W123" i="1"/>
  <c r="AB154" i="1"/>
  <c r="AH97" i="1"/>
  <c r="R132" i="1"/>
  <c r="J129" i="1"/>
  <c r="K61" i="1"/>
  <c r="S74" i="1"/>
  <c r="N36" i="1"/>
  <c r="T85" i="1"/>
  <c r="AB96" i="1"/>
  <c r="Z10" i="1"/>
  <c r="AA21" i="1"/>
  <c r="C120" i="1"/>
  <c r="AC41" i="1"/>
  <c r="AI71" i="1"/>
  <c r="F51" i="1"/>
  <c r="AH124" i="1"/>
  <c r="W65" i="1"/>
  <c r="O23" i="1"/>
  <c r="S54" i="1"/>
  <c r="T113" i="1"/>
  <c r="X24" i="1"/>
  <c r="Z16" i="1"/>
  <c r="S21" i="1"/>
  <c r="X94" i="1"/>
  <c r="AE97" i="1"/>
  <c r="T15" i="1"/>
  <c r="D57" i="1"/>
  <c r="AC99" i="1"/>
  <c r="E15" i="1"/>
  <c r="G7" i="1"/>
  <c r="K130" i="1"/>
  <c r="O138" i="1"/>
  <c r="X106" i="1"/>
  <c r="P109" i="1"/>
  <c r="R99" i="1"/>
  <c r="D43" i="1"/>
  <c r="O100" i="1"/>
  <c r="K81" i="1"/>
  <c r="I58" i="1"/>
  <c r="P6" i="1"/>
  <c r="S28" i="1"/>
  <c r="AE43" i="1"/>
  <c r="AG6" i="1"/>
  <c r="V41" i="1"/>
  <c r="AI112" i="1"/>
  <c r="C144" i="1"/>
  <c r="D14" i="1"/>
  <c r="K144" i="1"/>
  <c r="AC53" i="1"/>
  <c r="AH29" i="1"/>
  <c r="Z27" i="1"/>
  <c r="E51" i="1"/>
  <c r="Y6" i="1"/>
  <c r="Y137" i="1"/>
  <c r="AI34" i="1"/>
  <c r="AC151" i="1"/>
  <c r="Q8" i="1"/>
  <c r="L130" i="1"/>
  <c r="K52" i="1"/>
  <c r="L8" i="1"/>
  <c r="C79" i="1"/>
  <c r="AC155" i="1"/>
  <c r="N117" i="1"/>
  <c r="C65" i="1"/>
  <c r="T16" i="1"/>
  <c r="J27" i="1"/>
  <c r="AC15" i="1"/>
  <c r="Q63" i="1"/>
  <c r="Y108" i="1"/>
  <c r="M158" i="1"/>
  <c r="F93" i="1"/>
  <c r="L10" i="1"/>
  <c r="C19" i="1"/>
  <c r="F2" i="1"/>
  <c r="O118" i="1"/>
  <c r="AG89" i="1"/>
  <c r="D140" i="1"/>
  <c r="P138" i="1"/>
  <c r="W112" i="1"/>
  <c r="M153" i="1"/>
  <c r="E37" i="1"/>
  <c r="E26" i="1"/>
  <c r="P99" i="1"/>
  <c r="V150" i="1"/>
  <c r="G35" i="1"/>
  <c r="O148" i="1"/>
  <c r="N125" i="1"/>
  <c r="D3" i="1"/>
  <c r="L136" i="1"/>
  <c r="M18" i="1"/>
  <c r="X21" i="1"/>
  <c r="D87" i="1"/>
  <c r="AB40" i="1"/>
  <c r="G76" i="1"/>
  <c r="K155" i="1"/>
  <c r="AF33" i="1"/>
  <c r="AH38" i="1"/>
  <c r="U150" i="1"/>
  <c r="U147" i="1"/>
  <c r="P129" i="1"/>
  <c r="D141" i="1"/>
  <c r="N52" i="1"/>
  <c r="Z111" i="1"/>
  <c r="U143" i="1"/>
  <c r="U95" i="1"/>
  <c r="S67" i="1"/>
  <c r="J85" i="1"/>
  <c r="Y114" i="1"/>
  <c r="U104" i="1"/>
  <c r="AD67" i="1"/>
  <c r="M60" i="1"/>
  <c r="I70" i="1"/>
  <c r="R80" i="1"/>
  <c r="U81" i="1"/>
  <c r="H118" i="1"/>
  <c r="G116" i="1"/>
  <c r="AE128" i="1"/>
  <c r="G25" i="1"/>
  <c r="K142" i="1"/>
  <c r="R47" i="1"/>
  <c r="T151" i="1"/>
  <c r="AI44" i="1"/>
  <c r="Z132" i="1"/>
  <c r="AI93" i="1"/>
  <c r="O18" i="1"/>
  <c r="O130" i="1"/>
  <c r="AF6" i="1"/>
  <c r="L82" i="1"/>
  <c r="AI156" i="1"/>
  <c r="P4" i="1"/>
  <c r="AG73" i="1"/>
  <c r="AI129" i="1"/>
  <c r="AG32" i="1"/>
  <c r="C156" i="1"/>
  <c r="J115" i="1"/>
  <c r="O125" i="1"/>
  <c r="S44" i="1"/>
  <c r="L26" i="1"/>
  <c r="J76" i="1"/>
  <c r="AD153" i="1"/>
  <c r="W16" i="1"/>
  <c r="Q33" i="1"/>
  <c r="C7" i="1"/>
  <c r="O85" i="1"/>
  <c r="AI113" i="1"/>
  <c r="C66" i="1"/>
  <c r="U153" i="1"/>
  <c r="D120" i="1"/>
  <c r="C25" i="1"/>
  <c r="H138" i="1"/>
  <c r="AC68" i="1"/>
  <c r="H97" i="1"/>
  <c r="E95" i="1"/>
  <c r="R39" i="1"/>
  <c r="S52" i="1"/>
  <c r="V35" i="1"/>
  <c r="L47" i="1"/>
  <c r="AC140" i="1"/>
  <c r="AH93" i="1"/>
  <c r="F92" i="1"/>
  <c r="F109" i="1"/>
  <c r="M78" i="1"/>
  <c r="L140" i="1"/>
  <c r="E31" i="1"/>
  <c r="O35" i="1"/>
  <c r="L24" i="1"/>
  <c r="C58" i="1"/>
  <c r="H9" i="1"/>
  <c r="AD46" i="1"/>
  <c r="R141" i="1"/>
  <c r="AH46" i="1"/>
  <c r="N6" i="1"/>
  <c r="AE45" i="1"/>
  <c r="AA16" i="1"/>
  <c r="F62" i="1"/>
  <c r="X136" i="1"/>
  <c r="AE138" i="1"/>
  <c r="F108" i="1"/>
  <c r="Z98" i="1"/>
  <c r="Q14" i="1"/>
  <c r="T19" i="1"/>
  <c r="Q90" i="1"/>
  <c r="N138" i="1"/>
  <c r="AH3" i="1"/>
  <c r="AH158" i="1"/>
  <c r="Y143" i="1"/>
  <c r="F61" i="1"/>
  <c r="O13" i="1"/>
  <c r="T84" i="1"/>
  <c r="AG39" i="1"/>
  <c r="AA114" i="1"/>
  <c r="Q25" i="1"/>
  <c r="D63" i="1"/>
  <c r="AH70" i="1"/>
  <c r="AA150" i="1"/>
  <c r="AC119" i="1"/>
  <c r="O79" i="1"/>
  <c r="AC59" i="1"/>
  <c r="L126" i="1"/>
  <c r="F35" i="1"/>
  <c r="AG82" i="1"/>
  <c r="W11" i="1"/>
  <c r="D65" i="1"/>
  <c r="M27" i="1"/>
  <c r="V123" i="1"/>
  <c r="AC79" i="1"/>
  <c r="AE133" i="1"/>
  <c r="T101" i="1"/>
  <c r="AB139" i="1"/>
  <c r="Z156" i="1"/>
  <c r="AG43" i="1"/>
  <c r="E65" i="1"/>
  <c r="L80" i="1"/>
  <c r="AE89" i="1"/>
  <c r="R19" i="1"/>
  <c r="P73" i="1"/>
  <c r="V156" i="1"/>
  <c r="N5" i="1"/>
  <c r="AG25" i="1"/>
  <c r="Z134" i="1"/>
  <c r="AB60" i="1"/>
  <c r="I115" i="1"/>
  <c r="AA117" i="1"/>
  <c r="V100" i="1"/>
  <c r="AI140" i="1"/>
  <c r="H94" i="1"/>
  <c r="J132" i="1"/>
  <c r="D147" i="1"/>
  <c r="C22" i="1"/>
  <c r="H132" i="1"/>
  <c r="P79" i="1"/>
  <c r="M149" i="1"/>
  <c r="G105" i="1"/>
  <c r="R25" i="1"/>
  <c r="L106" i="1"/>
  <c r="AI157" i="1"/>
  <c r="F133" i="1"/>
  <c r="W89" i="1"/>
  <c r="AG9" i="1"/>
  <c r="R70" i="1"/>
  <c r="AC36" i="1"/>
  <c r="AF134" i="1"/>
  <c r="I48" i="1"/>
  <c r="AB142" i="1"/>
  <c r="I57" i="1"/>
  <c r="S62" i="1"/>
  <c r="X54" i="1"/>
  <c r="X154" i="1"/>
  <c r="AH96" i="1"/>
  <c r="AE113" i="1"/>
  <c r="C89" i="1"/>
  <c r="I97" i="1"/>
  <c r="U65" i="1"/>
  <c r="AB8" i="1"/>
  <c r="H85" i="1"/>
  <c r="R48" i="1"/>
  <c r="O61" i="1"/>
  <c r="AA98" i="1"/>
  <c r="V53" i="1"/>
  <c r="AE77" i="1"/>
  <c r="AF32" i="1"/>
  <c r="H99" i="1"/>
  <c r="AF34" i="1"/>
  <c r="AE13" i="1"/>
  <c r="V43" i="1"/>
  <c r="M112" i="1"/>
  <c r="AC139" i="1"/>
  <c r="AC141" i="1"/>
  <c r="Z135" i="1"/>
  <c r="J99" i="1"/>
  <c r="Y4" i="1"/>
  <c r="J75" i="1"/>
  <c r="E36" i="1"/>
  <c r="N50" i="1"/>
  <c r="E7" i="1"/>
  <c r="N147" i="1"/>
  <c r="I152" i="1"/>
  <c r="S95" i="1"/>
  <c r="AA54" i="1"/>
  <c r="V109" i="1"/>
  <c r="D2" i="1"/>
  <c r="Y90" i="1"/>
  <c r="AC153" i="1"/>
  <c r="E75" i="1"/>
  <c r="R53" i="1"/>
  <c r="Z145" i="1"/>
  <c r="AI118" i="1"/>
  <c r="V11" i="1"/>
  <c r="M125" i="1"/>
  <c r="S60" i="1"/>
  <c r="AI42" i="1"/>
  <c r="F41" i="1"/>
  <c r="O94" i="1"/>
  <c r="AF35" i="1"/>
  <c r="H126" i="1"/>
  <c r="AI114" i="1"/>
  <c r="T34" i="1"/>
  <c r="AI18" i="1"/>
  <c r="K122" i="1"/>
  <c r="E57" i="1"/>
  <c r="F52" i="1"/>
  <c r="AC49" i="1"/>
  <c r="Z89" i="1"/>
  <c r="Z52" i="1"/>
  <c r="C141" i="1"/>
  <c r="U74" i="1"/>
  <c r="K29" i="1"/>
  <c r="L123" i="1"/>
  <c r="AB111" i="1"/>
  <c r="AH104" i="1"/>
  <c r="AD61" i="1"/>
  <c r="AI27" i="1"/>
  <c r="AE108" i="1"/>
  <c r="AF36" i="1"/>
  <c r="AH118" i="1"/>
  <c r="G124" i="1"/>
  <c r="R49" i="1"/>
  <c r="AH73" i="1"/>
  <c r="E77" i="1"/>
  <c r="O22" i="1"/>
  <c r="Y57" i="1"/>
  <c r="AC103" i="1"/>
  <c r="E110" i="1"/>
  <c r="C26" i="1"/>
  <c r="N44" i="1"/>
  <c r="H104" i="1"/>
  <c r="AD109" i="1"/>
  <c r="AE88" i="1"/>
  <c r="F29" i="1"/>
  <c r="W15" i="1"/>
  <c r="J117" i="1"/>
  <c r="C3" i="1"/>
  <c r="Y123" i="1"/>
  <c r="M114" i="1"/>
  <c r="AA40" i="1"/>
  <c r="D155" i="1"/>
  <c r="W25" i="1"/>
  <c r="U29" i="1"/>
  <c r="D93" i="1"/>
  <c r="AD10" i="1"/>
  <c r="U15" i="1"/>
  <c r="AH140" i="1"/>
  <c r="AI155" i="1"/>
  <c r="I116" i="1"/>
  <c r="AG22" i="1"/>
  <c r="AF103" i="1"/>
  <c r="K119" i="1"/>
  <c r="O151" i="1"/>
  <c r="S122" i="1"/>
  <c r="N19" i="1"/>
  <c r="X50" i="1"/>
  <c r="Z19" i="1"/>
  <c r="T88" i="1"/>
  <c r="H90" i="1"/>
  <c r="W43" i="1"/>
  <c r="Z151" i="1"/>
  <c r="N2" i="1"/>
  <c r="F6" i="1"/>
  <c r="F70" i="1"/>
  <c r="U156" i="1"/>
  <c r="L97" i="1"/>
  <c r="O116" i="1"/>
  <c r="AE10" i="1"/>
  <c r="P57" i="1"/>
  <c r="F149" i="1"/>
  <c r="S126" i="1"/>
  <c r="G141" i="1"/>
  <c r="AG137" i="1"/>
  <c r="K100" i="1"/>
  <c r="AC82" i="1"/>
  <c r="S50" i="1"/>
  <c r="L147" i="1"/>
  <c r="P93" i="1"/>
  <c r="Y126" i="1"/>
  <c r="AC57" i="1"/>
  <c r="X99" i="1"/>
  <c r="W153" i="1"/>
  <c r="C11" i="1"/>
  <c r="W70" i="1"/>
  <c r="T7" i="1"/>
  <c r="AH116" i="1"/>
  <c r="L151" i="1"/>
  <c r="AG45" i="1"/>
  <c r="AC92" i="1"/>
  <c r="D27" i="1"/>
  <c r="U130" i="1"/>
  <c r="AD15" i="1"/>
  <c r="T148" i="1"/>
  <c r="V68" i="1"/>
  <c r="AH82" i="1"/>
  <c r="S39" i="1"/>
  <c r="P82" i="1"/>
  <c r="W140" i="1"/>
  <c r="AE95" i="1"/>
  <c r="R29" i="1"/>
  <c r="E113" i="1"/>
  <c r="T130" i="1"/>
  <c r="AG96" i="1"/>
  <c r="Z72" i="1"/>
  <c r="AA77" i="1"/>
  <c r="U141" i="1"/>
  <c r="U116" i="1"/>
  <c r="D44" i="1"/>
  <c r="Y66" i="1"/>
  <c r="AE125" i="1"/>
  <c r="I88" i="1"/>
  <c r="S112" i="1"/>
  <c r="N139" i="1"/>
  <c r="AG64" i="1"/>
  <c r="J106" i="1"/>
  <c r="Q75" i="1"/>
  <c r="F32" i="1"/>
  <c r="X33" i="1"/>
  <c r="U111" i="1"/>
  <c r="U137" i="1"/>
  <c r="I24" i="1"/>
  <c r="V4" i="1"/>
  <c r="O155" i="1"/>
  <c r="E62" i="1"/>
  <c r="N55" i="1"/>
  <c r="U91" i="1"/>
  <c r="M47" i="1"/>
  <c r="T55" i="1"/>
  <c r="AF120" i="1"/>
  <c r="AC121" i="1"/>
  <c r="S29" i="1"/>
  <c r="V111" i="1"/>
  <c r="O154" i="1"/>
  <c r="E151" i="1"/>
  <c r="Z79" i="1"/>
  <c r="AF147" i="1"/>
  <c r="AF108" i="1"/>
  <c r="E97" i="1"/>
  <c r="Z110" i="1"/>
  <c r="E146" i="1"/>
  <c r="R131" i="1"/>
  <c r="R138" i="1"/>
  <c r="U62" i="1"/>
  <c r="AD44" i="1"/>
  <c r="D59" i="1"/>
  <c r="AI54" i="1"/>
  <c r="AH51" i="1"/>
  <c r="V116" i="1"/>
  <c r="AC31" i="1"/>
  <c r="AE94" i="1"/>
  <c r="G146" i="1"/>
  <c r="AC30" i="1"/>
  <c r="R3" i="1"/>
  <c r="L132" i="1"/>
  <c r="AE123" i="1"/>
  <c r="J114" i="1"/>
  <c r="AH80" i="1"/>
  <c r="AA22" i="1"/>
  <c r="AF115" i="1"/>
  <c r="H16" i="1"/>
  <c r="P134" i="1"/>
  <c r="E21" i="1"/>
  <c r="AE67" i="1"/>
  <c r="R40" i="1"/>
  <c r="D10" i="1"/>
  <c r="P78" i="1"/>
  <c r="AA122" i="1"/>
  <c r="AH49" i="1"/>
  <c r="Y86" i="1"/>
  <c r="Q118" i="1"/>
  <c r="AI100" i="1"/>
  <c r="E63" i="1"/>
  <c r="M75" i="1"/>
  <c r="P128" i="1"/>
  <c r="K105" i="1"/>
  <c r="AI75" i="1"/>
  <c r="P22" i="1"/>
  <c r="E16" i="1"/>
  <c r="H136" i="1"/>
  <c r="AD33" i="1"/>
  <c r="G140" i="1"/>
  <c r="AD149" i="1"/>
  <c r="H46" i="1"/>
  <c r="K143" i="1"/>
  <c r="P19" i="1"/>
  <c r="M121" i="1"/>
  <c r="F76" i="1"/>
  <c r="E43" i="1"/>
  <c r="J26" i="1"/>
  <c r="H93" i="1"/>
  <c r="AF99" i="1"/>
  <c r="Y39" i="1"/>
  <c r="AH30" i="1"/>
  <c r="G19" i="1"/>
  <c r="L72" i="1"/>
  <c r="Z158" i="1"/>
  <c r="I84" i="1"/>
  <c r="AI145" i="1"/>
  <c r="X117" i="1"/>
  <c r="E137" i="1"/>
  <c r="X12" i="1"/>
  <c r="AI36" i="1"/>
  <c r="AH130" i="1"/>
  <c r="F91" i="1"/>
  <c r="AB50" i="1"/>
  <c r="J61" i="1"/>
  <c r="AF58" i="1"/>
  <c r="U43" i="1"/>
  <c r="P102" i="1"/>
  <c r="T12" i="1"/>
  <c r="N61" i="1"/>
  <c r="J119" i="1"/>
  <c r="AD132" i="1"/>
  <c r="C30" i="1"/>
  <c r="V122" i="1"/>
  <c r="F129" i="1"/>
  <c r="X92" i="1"/>
  <c r="M104" i="1"/>
  <c r="H130" i="1"/>
  <c r="V128" i="1"/>
  <c r="R118" i="1"/>
  <c r="E11" i="1"/>
  <c r="J65" i="1"/>
  <c r="L125" i="1"/>
  <c r="M148" i="1"/>
  <c r="V62" i="1"/>
  <c r="L73" i="1"/>
  <c r="U51" i="1"/>
  <c r="F63" i="1"/>
  <c r="AC129" i="1"/>
  <c r="P141" i="1"/>
  <c r="Y53" i="1"/>
  <c r="C128" i="1"/>
  <c r="AB118" i="1"/>
  <c r="AH89" i="1"/>
  <c r="L7" i="1"/>
  <c r="P87" i="1"/>
  <c r="Z14" i="1"/>
  <c r="O26" i="1"/>
  <c r="AA155" i="1"/>
  <c r="O73" i="1"/>
  <c r="L9" i="1"/>
  <c r="H45" i="1"/>
  <c r="L122" i="1"/>
  <c r="Y95" i="1"/>
  <c r="Z80" i="1"/>
  <c r="V135" i="1"/>
  <c r="X56" i="1"/>
  <c r="P84" i="1"/>
  <c r="U64" i="1"/>
  <c r="Z93" i="1"/>
  <c r="X101" i="1"/>
  <c r="Z96" i="1"/>
  <c r="D8" i="1"/>
  <c r="AA42" i="1"/>
  <c r="W81" i="1"/>
  <c r="I91" i="1"/>
  <c r="T28" i="1"/>
  <c r="U127" i="1"/>
  <c r="AG15" i="1"/>
  <c r="AG11" i="1"/>
  <c r="S92" i="1"/>
  <c r="R44" i="1"/>
  <c r="S113" i="1"/>
  <c r="G39" i="1"/>
  <c r="F43" i="1"/>
  <c r="AD32" i="1"/>
  <c r="C63" i="1"/>
  <c r="D40" i="1"/>
  <c r="AG147" i="1"/>
  <c r="AH15" i="1"/>
  <c r="E103" i="1"/>
  <c r="J125" i="1"/>
  <c r="AE93" i="1"/>
  <c r="R109" i="1"/>
  <c r="L105" i="1"/>
  <c r="AD91" i="1"/>
  <c r="N57" i="1"/>
  <c r="Q106" i="1"/>
  <c r="W46" i="1"/>
  <c r="H88" i="1"/>
  <c r="AC135" i="1"/>
  <c r="O149" i="1"/>
  <c r="AC154" i="1"/>
  <c r="L91" i="1"/>
  <c r="AF69" i="1"/>
  <c r="AE41" i="1"/>
  <c r="Y24" i="1"/>
  <c r="AI101" i="1"/>
  <c r="D92" i="1"/>
  <c r="G10" i="1"/>
  <c r="AD6" i="1"/>
  <c r="G82" i="1"/>
  <c r="U61" i="1"/>
  <c r="H10" i="1"/>
  <c r="G89" i="1"/>
  <c r="T138" i="1"/>
  <c r="AD131" i="1"/>
  <c r="V117" i="1"/>
  <c r="W91" i="1"/>
  <c r="J152" i="1"/>
  <c r="G23" i="1"/>
  <c r="AB86" i="1"/>
  <c r="O21" i="1"/>
  <c r="J60" i="1"/>
  <c r="O89" i="1"/>
  <c r="V33" i="1"/>
  <c r="U157" i="1"/>
  <c r="R75" i="1"/>
  <c r="W33" i="1"/>
  <c r="P154" i="1"/>
  <c r="D107" i="1"/>
  <c r="AF114" i="1"/>
  <c r="U48" i="1"/>
  <c r="AD114" i="1"/>
  <c r="X126" i="1"/>
  <c r="I73" i="1"/>
  <c r="AI67" i="1"/>
  <c r="N107" i="1"/>
  <c r="W115" i="1"/>
  <c r="M9" i="1"/>
  <c r="D123" i="1"/>
  <c r="Y11" i="1"/>
  <c r="E143" i="1"/>
  <c r="AC143" i="1"/>
  <c r="Y111" i="1"/>
  <c r="V73" i="1"/>
  <c r="Y127" i="1"/>
  <c r="S26" i="1"/>
  <c r="O75" i="1"/>
  <c r="AF131" i="1"/>
  <c r="P42" i="1"/>
  <c r="R46" i="1"/>
  <c r="L109" i="1"/>
  <c r="N32" i="1"/>
  <c r="F154" i="1"/>
  <c r="U30" i="1"/>
  <c r="D74" i="1"/>
  <c r="AB61" i="1"/>
  <c r="I3" i="1"/>
  <c r="Z131" i="1"/>
  <c r="N31" i="1"/>
  <c r="S110" i="1"/>
  <c r="AB153" i="1"/>
  <c r="Z97" i="1"/>
  <c r="AB147" i="1"/>
  <c r="O41" i="1"/>
  <c r="AE152" i="1"/>
  <c r="K64" i="1"/>
  <c r="AG74" i="1"/>
  <c r="H67" i="1"/>
  <c r="Q4" i="1"/>
  <c r="AD49" i="1"/>
  <c r="L34" i="1"/>
  <c r="E3" i="1"/>
  <c r="J154" i="1"/>
  <c r="U12" i="1"/>
  <c r="Y156" i="1"/>
  <c r="AE34" i="1"/>
  <c r="K104" i="1"/>
  <c r="AF70" i="1"/>
  <c r="C92" i="1"/>
  <c r="X82" i="1"/>
  <c r="F130" i="1"/>
  <c r="M106" i="1"/>
  <c r="M30" i="1"/>
  <c r="W93" i="1"/>
  <c r="AF47" i="1"/>
  <c r="AD100" i="1"/>
  <c r="P155" i="1"/>
  <c r="R140" i="1"/>
  <c r="AE105" i="1"/>
  <c r="AH79" i="1"/>
  <c r="AF77" i="1"/>
  <c r="AI23" i="1"/>
  <c r="W98" i="1"/>
  <c r="AA52" i="1"/>
  <c r="D134" i="1"/>
  <c r="AD144" i="1"/>
  <c r="H142" i="1"/>
  <c r="Q28" i="1"/>
  <c r="AG100" i="1"/>
  <c r="AG56" i="1"/>
  <c r="Y49" i="1"/>
  <c r="AH92" i="1"/>
  <c r="AH105" i="1"/>
  <c r="D149" i="1"/>
  <c r="D23" i="1"/>
  <c r="X63" i="1"/>
  <c r="AF31" i="1"/>
  <c r="L120" i="1"/>
  <c r="W127" i="1"/>
  <c r="AB44" i="1"/>
  <c r="AB5" i="1"/>
  <c r="L127" i="1"/>
  <c r="X51" i="1"/>
  <c r="K42" i="1"/>
  <c r="E12" i="1"/>
  <c r="AC70" i="1"/>
  <c r="S132" i="1"/>
  <c r="X87" i="1"/>
  <c r="AB79" i="1"/>
  <c r="S123" i="1"/>
  <c r="X97" i="1"/>
  <c r="AH60" i="1"/>
  <c r="AI105" i="1"/>
  <c r="N87" i="1"/>
  <c r="G64" i="1"/>
  <c r="H2" i="1"/>
  <c r="AB113" i="1"/>
  <c r="E147" i="1"/>
  <c r="AD81" i="1"/>
  <c r="Y125" i="1"/>
  <c r="M93" i="1"/>
  <c r="U14" i="1"/>
  <c r="G130" i="1"/>
  <c r="AC35" i="1"/>
  <c r="D6" i="1"/>
  <c r="R133" i="1"/>
  <c r="J24" i="1"/>
  <c r="F102" i="1"/>
  <c r="W85" i="1"/>
  <c r="T109" i="1"/>
  <c r="F78" i="1"/>
  <c r="W17" i="1"/>
  <c r="AE155" i="1"/>
  <c r="AG153" i="1"/>
  <c r="N95" i="1"/>
  <c r="W95" i="1"/>
  <c r="F37" i="1"/>
  <c r="J133" i="1"/>
  <c r="Z82" i="1"/>
  <c r="D47" i="1"/>
  <c r="G92" i="1"/>
  <c r="U145" i="1"/>
  <c r="U58" i="1"/>
  <c r="AD42" i="1"/>
  <c r="R31" i="1"/>
  <c r="I105" i="1"/>
  <c r="Y73" i="1"/>
  <c r="W100" i="1"/>
  <c r="AC2" i="1"/>
  <c r="AH34" i="1"/>
  <c r="AH86" i="1"/>
  <c r="C2" i="1"/>
  <c r="AD135" i="1"/>
  <c r="AB13" i="1"/>
  <c r="L57" i="1"/>
  <c r="Y77" i="1"/>
  <c r="G80" i="1"/>
  <c r="P75" i="1"/>
  <c r="J11" i="1"/>
  <c r="T135" i="1"/>
  <c r="AA123" i="1"/>
  <c r="U70" i="1"/>
  <c r="AD143" i="1"/>
  <c r="G131" i="1"/>
  <c r="Z123" i="1"/>
  <c r="C28" i="1"/>
  <c r="AI80" i="1"/>
  <c r="AG151" i="1"/>
  <c r="AF105" i="1"/>
  <c r="D110" i="1"/>
  <c r="Z129" i="1"/>
  <c r="F120" i="1"/>
  <c r="AC96" i="1"/>
  <c r="AG37" i="1"/>
  <c r="X90" i="1"/>
  <c r="N140" i="1"/>
  <c r="AG123" i="1"/>
  <c r="M16" i="1"/>
  <c r="AH112" i="1"/>
  <c r="H154" i="1"/>
  <c r="I60" i="1"/>
  <c r="C40" i="1"/>
  <c r="G149" i="1"/>
  <c r="M3" i="1"/>
  <c r="O64" i="1"/>
  <c r="AD35" i="1"/>
  <c r="S37" i="1"/>
  <c r="S10" i="1"/>
  <c r="M145" i="1"/>
  <c r="O72" i="1"/>
  <c r="AA10" i="1"/>
  <c r="AB85" i="1"/>
  <c r="D24" i="1"/>
  <c r="K57" i="1"/>
  <c r="C118" i="1"/>
  <c r="V85" i="1"/>
  <c r="R129" i="1"/>
  <c r="T33" i="1"/>
  <c r="X113" i="1"/>
  <c r="D28" i="1"/>
  <c r="Y75" i="1"/>
  <c r="C73" i="1"/>
  <c r="D91" i="1"/>
  <c r="U105" i="1"/>
  <c r="H127" i="1"/>
  <c r="H20" i="1"/>
  <c r="K35" i="1"/>
  <c r="AI6" i="1"/>
  <c r="AG149" i="1"/>
  <c r="F88" i="1"/>
  <c r="AD64" i="1"/>
  <c r="Y55" i="1"/>
  <c r="T123" i="1"/>
  <c r="E140" i="1"/>
  <c r="T21" i="1"/>
  <c r="J98" i="1"/>
  <c r="J9" i="1"/>
  <c r="W132" i="1"/>
  <c r="X26" i="1"/>
  <c r="S75" i="1"/>
  <c r="R158" i="1"/>
  <c r="H64" i="1"/>
  <c r="I66" i="1"/>
  <c r="I16" i="1"/>
  <c r="N39" i="1"/>
  <c r="W147" i="1"/>
  <c r="AG107" i="1"/>
  <c r="S41" i="1"/>
  <c r="AC88" i="1"/>
  <c r="L107" i="1"/>
  <c r="O37" i="1"/>
  <c r="AD77" i="1"/>
  <c r="C46" i="1"/>
  <c r="S151" i="1"/>
  <c r="AA151" i="1"/>
  <c r="K90" i="1"/>
  <c r="AB125" i="1"/>
  <c r="AD99" i="1"/>
  <c r="AA154" i="1"/>
  <c r="R152" i="1"/>
  <c r="E91" i="1"/>
  <c r="AD154" i="1"/>
  <c r="AG50" i="1"/>
  <c r="X53" i="1"/>
  <c r="AA51" i="1"/>
  <c r="F124" i="1"/>
  <c r="P97" i="1"/>
  <c r="K151" i="1"/>
  <c r="O83" i="1"/>
  <c r="E2" i="1"/>
  <c r="AA48" i="1"/>
  <c r="Q120" i="1"/>
  <c r="S141" i="1"/>
  <c r="AI121" i="1"/>
  <c r="Y154" i="1"/>
  <c r="S43" i="1"/>
  <c r="AA153" i="1"/>
  <c r="P51" i="1"/>
  <c r="V145" i="1"/>
  <c r="I17" i="1"/>
  <c r="N86" i="1"/>
  <c r="X138" i="1"/>
  <c r="D126" i="1"/>
  <c r="Z108" i="1"/>
  <c r="I41" i="1"/>
  <c r="AI103" i="1"/>
  <c r="AI21" i="1"/>
  <c r="AG155" i="1"/>
  <c r="Y41" i="1"/>
  <c r="AE53" i="1"/>
  <c r="Z59" i="1"/>
  <c r="AC39" i="1"/>
  <c r="J8" i="1"/>
  <c r="J124" i="1"/>
  <c r="U99" i="1"/>
  <c r="N56" i="1"/>
  <c r="H87" i="1"/>
  <c r="K88" i="1"/>
  <c r="AF102" i="1"/>
  <c r="R54" i="1"/>
  <c r="Q133" i="1"/>
  <c r="G62" i="1"/>
  <c r="AE99" i="1"/>
  <c r="I147" i="1"/>
  <c r="I158" i="1"/>
  <c r="I114" i="1"/>
  <c r="M51" i="1"/>
  <c r="R65" i="1"/>
  <c r="J88" i="1"/>
  <c r="G118" i="1"/>
  <c r="T36" i="1"/>
  <c r="E92" i="1"/>
  <c r="O158" i="1"/>
  <c r="AE124" i="1"/>
  <c r="I135" i="1"/>
  <c r="K85" i="1"/>
  <c r="AF136" i="1"/>
  <c r="U79" i="1"/>
  <c r="T128" i="1"/>
  <c r="W117" i="1"/>
  <c r="X141" i="1"/>
  <c r="T91" i="1"/>
  <c r="AE84" i="1"/>
  <c r="AI28" i="1"/>
  <c r="D62" i="1"/>
  <c r="D53" i="1"/>
  <c r="AH107" i="1"/>
  <c r="W155" i="1"/>
  <c r="Z29" i="1"/>
  <c r="C132" i="1"/>
  <c r="R114" i="1"/>
  <c r="E115" i="1"/>
  <c r="N59" i="1"/>
  <c r="M113" i="1"/>
  <c r="E145" i="1"/>
  <c r="X5" i="1"/>
  <c r="Z138" i="1"/>
  <c r="D130" i="1"/>
  <c r="C146" i="1"/>
  <c r="AE50" i="1"/>
  <c r="AA41" i="1"/>
  <c r="I76" i="1"/>
  <c r="D106" i="1"/>
  <c r="P124" i="1"/>
  <c r="AG57" i="1"/>
  <c r="AH19" i="1"/>
  <c r="O34" i="1"/>
  <c r="AG49" i="1"/>
  <c r="M61" i="1"/>
  <c r="I101" i="1"/>
  <c r="AD71" i="1"/>
  <c r="S5" i="1"/>
  <c r="AD25" i="1"/>
  <c r="D70" i="1"/>
  <c r="R122" i="1"/>
  <c r="W72" i="1"/>
  <c r="AF119" i="1"/>
  <c r="AH13" i="1"/>
  <c r="U94" i="1"/>
  <c r="D17" i="1"/>
  <c r="W125" i="1"/>
  <c r="D138" i="1"/>
  <c r="U92" i="1"/>
  <c r="AA67" i="1"/>
  <c r="C50" i="1"/>
  <c r="Q21" i="1"/>
  <c r="L14" i="1"/>
  <c r="V134" i="1"/>
  <c r="AI149" i="1"/>
  <c r="AD141" i="1"/>
  <c r="E105" i="1"/>
  <c r="C67" i="1"/>
  <c r="X118" i="1"/>
  <c r="AH66" i="1"/>
  <c r="F18" i="1"/>
  <c r="E130" i="1"/>
  <c r="Y84" i="1"/>
  <c r="Y3" i="1"/>
  <c r="U41" i="1"/>
  <c r="L21" i="1"/>
  <c r="U90" i="1"/>
  <c r="K40" i="1"/>
  <c r="AB122" i="1"/>
  <c r="AC108" i="1"/>
  <c r="M156" i="1"/>
  <c r="M36" i="1"/>
  <c r="O16" i="1"/>
  <c r="H140" i="1"/>
  <c r="X43" i="1"/>
  <c r="AE68" i="1"/>
  <c r="J80" i="1"/>
  <c r="F140" i="1"/>
  <c r="E128" i="1"/>
  <c r="M129" i="1"/>
  <c r="H35" i="1"/>
  <c r="Y122" i="1"/>
  <c r="AD43" i="1"/>
  <c r="S117" i="1"/>
  <c r="AC45" i="1"/>
  <c r="AE29" i="1"/>
  <c r="C9" i="1"/>
  <c r="AI110" i="1"/>
  <c r="Z105" i="1"/>
  <c r="AH155" i="1"/>
  <c r="U136" i="1"/>
  <c r="H34" i="1"/>
  <c r="AF45" i="1"/>
  <c r="Q11" i="1"/>
  <c r="C81" i="1"/>
  <c r="AI56" i="1"/>
  <c r="L44" i="1"/>
  <c r="N77" i="1"/>
  <c r="AB77" i="1"/>
  <c r="G24" i="1"/>
  <c r="N90" i="1"/>
  <c r="P27" i="1"/>
  <c r="Q96" i="1"/>
  <c r="AG52" i="1"/>
  <c r="AA32" i="1"/>
  <c r="R50" i="1"/>
  <c r="X120" i="1"/>
  <c r="O146" i="1"/>
  <c r="T150" i="1"/>
  <c r="J7" i="1"/>
  <c r="AG27" i="1"/>
  <c r="V16" i="1"/>
  <c r="K58" i="1"/>
  <c r="G88" i="1"/>
  <c r="AG124" i="1"/>
  <c r="K106" i="1"/>
  <c r="S18" i="1"/>
  <c r="G45" i="1"/>
  <c r="X41" i="1"/>
  <c r="AH149" i="1"/>
  <c r="Q61" i="1"/>
  <c r="AE151" i="1"/>
  <c r="R150" i="1"/>
  <c r="Z55" i="1"/>
  <c r="AD22" i="1"/>
  <c r="G100" i="1"/>
  <c r="AG70" i="1"/>
  <c r="I62" i="1"/>
  <c r="AF146" i="1"/>
  <c r="M136" i="1"/>
  <c r="AA75" i="1"/>
  <c r="AH102" i="1"/>
  <c r="AE40" i="1"/>
  <c r="AE118" i="1"/>
  <c r="S76" i="1"/>
  <c r="AI116" i="1"/>
  <c r="Z153" i="1"/>
  <c r="M123" i="1"/>
  <c r="D156" i="1"/>
  <c r="AE19" i="1"/>
  <c r="AD2" i="1"/>
  <c r="Y116" i="1"/>
  <c r="AB87" i="1"/>
  <c r="AH147" i="1"/>
  <c r="R63" i="1"/>
  <c r="K38" i="1"/>
  <c r="C84" i="1"/>
  <c r="W22" i="1"/>
  <c r="J22" i="1"/>
  <c r="AC78" i="1"/>
  <c r="M41" i="1"/>
  <c r="Z22" i="1"/>
  <c r="H62" i="1"/>
  <c r="AF44" i="1"/>
  <c r="U108" i="1"/>
  <c r="U24" i="1"/>
  <c r="M52" i="1"/>
  <c r="S27" i="1"/>
  <c r="S140" i="1"/>
  <c r="E73" i="1"/>
  <c r="AG105" i="1"/>
  <c r="AG118" i="1"/>
  <c r="V23" i="1"/>
  <c r="H25" i="1"/>
  <c r="R8" i="1"/>
  <c r="AA33" i="1"/>
  <c r="V58" i="1"/>
  <c r="Y60" i="1"/>
  <c r="AA125" i="1"/>
  <c r="C115" i="1"/>
  <c r="P158" i="1"/>
  <c r="X70" i="1"/>
  <c r="L53" i="1"/>
  <c r="H150" i="1"/>
  <c r="D115" i="1"/>
  <c r="G90" i="1"/>
  <c r="I22" i="1"/>
  <c r="N158" i="1"/>
  <c r="C136" i="1"/>
  <c r="AG122" i="1"/>
  <c r="I93" i="1"/>
  <c r="C32" i="1"/>
  <c r="O142" i="1"/>
  <c r="P56" i="1"/>
  <c r="M87" i="1"/>
  <c r="G113" i="1"/>
  <c r="D133" i="1"/>
  <c r="AF38" i="1"/>
  <c r="AI22" i="1"/>
  <c r="N81" i="1"/>
  <c r="AD37" i="1"/>
  <c r="Y31" i="1"/>
  <c r="U59" i="1"/>
  <c r="Q69" i="1"/>
  <c r="S142" i="1"/>
  <c r="G65" i="1"/>
  <c r="Z24" i="1"/>
  <c r="N43" i="1"/>
  <c r="X49" i="1"/>
  <c r="E107" i="1"/>
  <c r="M83" i="1"/>
  <c r="AG34" i="1"/>
  <c r="AD13" i="1"/>
  <c r="X16" i="1"/>
  <c r="AH20" i="1"/>
  <c r="AF154" i="1"/>
  <c r="Z155" i="1"/>
  <c r="L55" i="1"/>
  <c r="O136" i="1"/>
  <c r="V10" i="1"/>
  <c r="U36" i="1"/>
  <c r="N88" i="1"/>
  <c r="U109" i="1"/>
  <c r="K33" i="1"/>
  <c r="AF153" i="1"/>
  <c r="I144" i="1"/>
  <c r="J37" i="1"/>
  <c r="O25" i="1"/>
  <c r="AH106" i="1"/>
  <c r="H7" i="1"/>
  <c r="K5" i="1"/>
  <c r="AE144" i="1"/>
  <c r="Q73" i="1"/>
  <c r="AH47" i="1"/>
  <c r="T45" i="1"/>
  <c r="AG51" i="1"/>
  <c r="W129" i="1"/>
  <c r="W144" i="1"/>
  <c r="W8" i="1"/>
  <c r="AD122" i="1"/>
  <c r="C134" i="1"/>
  <c r="P7" i="1"/>
  <c r="T107" i="1"/>
  <c r="N26" i="1"/>
  <c r="X83" i="1"/>
  <c r="M134" i="1"/>
  <c r="Q111" i="1"/>
  <c r="S32" i="1"/>
  <c r="AG134" i="1"/>
  <c r="D100" i="1"/>
  <c r="W74" i="1"/>
  <c r="AI3" i="1"/>
  <c r="M98" i="1"/>
  <c r="U56" i="1"/>
  <c r="W59" i="1"/>
  <c r="L43" i="1"/>
  <c r="O19" i="1"/>
  <c r="AC64" i="1"/>
  <c r="J127" i="1"/>
  <c r="Y151" i="1"/>
  <c r="C15" i="1"/>
  <c r="AB42" i="1"/>
  <c r="C13" i="1"/>
  <c r="L145" i="1"/>
  <c r="AE12" i="1"/>
  <c r="AA142" i="1"/>
  <c r="K78" i="1"/>
  <c r="Y30" i="1"/>
  <c r="F7" i="1"/>
  <c r="T37" i="1"/>
  <c r="J116" i="1"/>
  <c r="X123" i="1"/>
  <c r="T90" i="1"/>
  <c r="AA14" i="1"/>
  <c r="X47" i="1"/>
  <c r="Q156" i="1"/>
  <c r="AH88" i="1"/>
  <c r="L102" i="1"/>
  <c r="P133" i="1"/>
  <c r="G96" i="1"/>
  <c r="S154" i="1"/>
  <c r="Q77" i="1"/>
  <c r="AE106" i="1"/>
  <c r="Y29" i="1"/>
  <c r="Q91" i="1"/>
  <c r="P53" i="1"/>
  <c r="H23" i="1"/>
  <c r="X52" i="1"/>
  <c r="Z21" i="1"/>
  <c r="AC74" i="1"/>
  <c r="J58" i="1"/>
  <c r="AE109" i="1"/>
  <c r="AB95" i="1"/>
  <c r="AE143" i="1"/>
  <c r="V57" i="1"/>
  <c r="AD123" i="1"/>
  <c r="AE140" i="1"/>
  <c r="AC17" i="1"/>
  <c r="L41" i="1"/>
  <c r="F9" i="1"/>
  <c r="W102" i="1"/>
  <c r="F142" i="1"/>
  <c r="P41" i="1"/>
  <c r="R104" i="1"/>
  <c r="F106" i="1"/>
  <c r="O102" i="1"/>
  <c r="Y119" i="1"/>
  <c r="K86" i="1"/>
  <c r="P2" i="1"/>
  <c r="E20" i="1"/>
  <c r="I86" i="1"/>
  <c r="AF123" i="1"/>
  <c r="I2" i="1"/>
  <c r="J23" i="1"/>
  <c r="AD115" i="1"/>
  <c r="O121" i="1"/>
  <c r="Q86" i="1"/>
  <c r="AG30" i="1"/>
  <c r="Q143" i="1"/>
  <c r="O69" i="1"/>
  <c r="D101" i="1"/>
  <c r="P95" i="1"/>
  <c r="H120" i="1"/>
  <c r="Q15" i="1"/>
  <c r="J134" i="1"/>
  <c r="V102" i="1"/>
  <c r="W76" i="1"/>
  <c r="L110" i="1"/>
  <c r="AE55" i="1"/>
  <c r="F82" i="1"/>
  <c r="D113" i="1"/>
  <c r="Q125" i="1"/>
  <c r="C102" i="1"/>
  <c r="X98" i="1"/>
  <c r="X78" i="1"/>
  <c r="P13" i="1"/>
  <c r="AF54" i="1"/>
  <c r="AA82" i="1"/>
  <c r="AC23" i="1"/>
  <c r="U50" i="1"/>
  <c r="F50" i="1"/>
  <c r="O58" i="1"/>
  <c r="I32" i="1"/>
  <c r="AE17" i="1"/>
  <c r="G129" i="1"/>
  <c r="E22" i="1"/>
  <c r="AA13" i="1"/>
  <c r="AI122" i="1"/>
  <c r="K18" i="1"/>
  <c r="N118" i="1"/>
  <c r="AD80" i="1"/>
  <c r="AB103" i="1"/>
  <c r="AH77" i="1"/>
  <c r="AI146" i="1"/>
  <c r="C110" i="1"/>
  <c r="J84" i="1"/>
  <c r="Q48" i="1"/>
  <c r="AB123" i="1"/>
  <c r="Z7" i="1"/>
  <c r="T158" i="1"/>
  <c r="G12" i="1"/>
  <c r="C107" i="1"/>
  <c r="C47" i="1"/>
  <c r="AB71" i="1"/>
  <c r="H42" i="1"/>
  <c r="AA20" i="1"/>
  <c r="C43" i="1"/>
  <c r="I64" i="1"/>
  <c r="T133" i="1"/>
  <c r="J151" i="1"/>
  <c r="AH150" i="1"/>
  <c r="E24" i="1"/>
  <c r="J51" i="1"/>
  <c r="N10" i="1"/>
  <c r="F155" i="1"/>
  <c r="L129" i="1"/>
  <c r="Q57" i="1"/>
  <c r="K45" i="1"/>
  <c r="AE81" i="1"/>
  <c r="T64" i="1"/>
  <c r="U84" i="1"/>
  <c r="L99" i="1"/>
  <c r="F64" i="1"/>
  <c r="AI26" i="1"/>
  <c r="U85" i="1"/>
  <c r="R7" i="1"/>
  <c r="T96" i="1"/>
  <c r="AI19" i="1"/>
  <c r="Z150" i="1"/>
  <c r="H139" i="1"/>
  <c r="F146" i="1"/>
  <c r="AB132" i="1"/>
  <c r="S71" i="1"/>
  <c r="R82" i="1"/>
  <c r="R72" i="1"/>
  <c r="Z63" i="1"/>
  <c r="F24" i="1"/>
  <c r="AI4" i="1"/>
  <c r="I18" i="1"/>
  <c r="AE129" i="1"/>
  <c r="I136" i="1"/>
  <c r="O119" i="1"/>
  <c r="AA95" i="1"/>
  <c r="W124" i="1"/>
  <c r="AC76" i="1"/>
  <c r="G145" i="1"/>
  <c r="O88" i="1"/>
  <c r="M72" i="1"/>
  <c r="M45" i="1"/>
  <c r="R146" i="1"/>
  <c r="Z116" i="1"/>
  <c r="G54" i="1"/>
  <c r="X58" i="1"/>
  <c r="Q151" i="1"/>
  <c r="F38" i="1"/>
  <c r="F157" i="1"/>
  <c r="AH53" i="1"/>
  <c r="AB84" i="1"/>
  <c r="J102" i="1"/>
  <c r="M48" i="1"/>
  <c r="Z120" i="1"/>
  <c r="Y26" i="1"/>
  <c r="AG102" i="1"/>
  <c r="Y54" i="1"/>
  <c r="Z38" i="1"/>
  <c r="H21" i="1"/>
  <c r="L141" i="1"/>
  <c r="AF81" i="1"/>
  <c r="AI127" i="1"/>
  <c r="T23" i="1"/>
  <c r="J149" i="1"/>
  <c r="AI40" i="1"/>
  <c r="L2" i="1"/>
  <c r="C150" i="1"/>
  <c r="AI52" i="1"/>
  <c r="T58" i="1"/>
  <c r="Y147" i="1"/>
  <c r="X73" i="1"/>
  <c r="AF127" i="1"/>
  <c r="P106" i="1"/>
  <c r="O66" i="1"/>
  <c r="AA149" i="1"/>
  <c r="M62" i="1"/>
  <c r="M92" i="1"/>
  <c r="O52" i="1"/>
  <c r="G66" i="1"/>
  <c r="X108" i="1"/>
  <c r="R125" i="1"/>
  <c r="AC81" i="1"/>
  <c r="AE122" i="1"/>
  <c r="T63" i="1"/>
  <c r="AA47" i="1"/>
  <c r="L71" i="1"/>
  <c r="AE52" i="1"/>
  <c r="K49" i="1"/>
  <c r="O5" i="1"/>
  <c r="AE44" i="1"/>
  <c r="H128" i="1"/>
  <c r="X3" i="1"/>
  <c r="G47" i="1"/>
  <c r="I9" i="1"/>
  <c r="S100" i="1"/>
  <c r="O105" i="1"/>
  <c r="N11" i="1"/>
  <c r="Q56" i="1"/>
  <c r="Z37" i="1"/>
  <c r="AF112" i="1"/>
  <c r="H26" i="1"/>
  <c r="I141" i="1"/>
  <c r="X79" i="1"/>
  <c r="O10" i="1"/>
  <c r="C114" i="1"/>
  <c r="K115" i="1"/>
  <c r="K28" i="1"/>
  <c r="G111" i="1"/>
  <c r="P108" i="1"/>
  <c r="X66" i="1"/>
  <c r="AG42" i="1"/>
  <c r="AA120" i="1"/>
  <c r="F54" i="1"/>
  <c r="H123" i="1"/>
  <c r="U16" i="1"/>
  <c r="P126" i="1"/>
  <c r="J40" i="1"/>
  <c r="R121" i="1"/>
  <c r="AE66" i="1"/>
  <c r="H52" i="1"/>
  <c r="J71" i="1"/>
  <c r="W79" i="1"/>
  <c r="V149" i="1"/>
  <c r="T61" i="1"/>
  <c r="I61" i="1"/>
  <c r="AH17" i="1"/>
  <c r="Y89" i="1"/>
  <c r="AF84" i="1"/>
  <c r="E69" i="1"/>
  <c r="AG35" i="1"/>
  <c r="AH74" i="1"/>
  <c r="D144" i="1"/>
  <c r="L22" i="1"/>
  <c r="D157" i="1"/>
  <c r="J68" i="1"/>
  <c r="R139" i="1"/>
  <c r="L18" i="1"/>
  <c r="K131" i="1"/>
  <c r="S152" i="1"/>
  <c r="P146" i="1"/>
  <c r="O139" i="1"/>
  <c r="AH134" i="1"/>
  <c r="F73" i="1"/>
  <c r="AC109" i="1"/>
  <c r="V124" i="1"/>
  <c r="I44" i="1"/>
  <c r="V20" i="1"/>
  <c r="W78" i="1"/>
  <c r="U149" i="1"/>
  <c r="C85" i="1"/>
  <c r="AH143" i="1"/>
  <c r="R61" i="1"/>
  <c r="W35" i="1"/>
  <c r="E38" i="1"/>
  <c r="S9" i="1"/>
  <c r="U37" i="1"/>
  <c r="T132" i="1"/>
  <c r="G30" i="1"/>
  <c r="S94" i="1"/>
  <c r="R22" i="1"/>
  <c r="M132" i="1"/>
  <c r="R79" i="1"/>
  <c r="AH24" i="1"/>
  <c r="U42" i="1"/>
  <c r="L50" i="1"/>
  <c r="AD94" i="1"/>
  <c r="N72" i="1"/>
  <c r="AG5" i="1"/>
  <c r="AC136" i="1"/>
  <c r="Z66" i="1"/>
  <c r="T46" i="1"/>
  <c r="AC113" i="1"/>
  <c r="D121" i="1"/>
  <c r="L46" i="1"/>
  <c r="AF75" i="1"/>
  <c r="F65" i="1"/>
  <c r="T94" i="1"/>
  <c r="O44" i="1"/>
  <c r="X150" i="1"/>
  <c r="AA93" i="1"/>
  <c r="H53" i="1"/>
  <c r="C137" i="1"/>
  <c r="Z142" i="1"/>
  <c r="AD113" i="1"/>
  <c r="O95" i="1"/>
  <c r="G150" i="1"/>
  <c r="R26" i="1"/>
  <c r="AA29" i="1"/>
  <c r="S156" i="1"/>
  <c r="T117" i="1"/>
  <c r="S24" i="1"/>
  <c r="AG7" i="1"/>
  <c r="E41" i="1"/>
  <c r="K83" i="1"/>
  <c r="AC61" i="1"/>
  <c r="R84" i="1"/>
  <c r="Z119" i="1"/>
  <c r="P26" i="1"/>
  <c r="E96" i="1"/>
  <c r="M80" i="1"/>
  <c r="O112" i="1"/>
  <c r="D98" i="1"/>
  <c r="S46" i="1"/>
  <c r="O7" i="1"/>
  <c r="T32" i="1"/>
  <c r="W139" i="1"/>
  <c r="U110" i="1"/>
  <c r="D127" i="1"/>
  <c r="U146" i="1"/>
  <c r="AD40" i="1"/>
  <c r="J5" i="1"/>
  <c r="AD156" i="1"/>
  <c r="E68" i="1"/>
  <c r="N132" i="1"/>
  <c r="AB134" i="1"/>
  <c r="Y131" i="1"/>
  <c r="S72" i="1"/>
  <c r="AG86" i="1"/>
  <c r="P90" i="1"/>
  <c r="G8" i="1"/>
  <c r="E121" i="1"/>
  <c r="T149" i="1"/>
  <c r="AA106" i="1"/>
  <c r="C38" i="1"/>
  <c r="K13" i="1"/>
  <c r="O150" i="1"/>
  <c r="R38" i="1"/>
  <c r="T62" i="1"/>
  <c r="AB9" i="1"/>
  <c r="S66" i="1"/>
  <c r="N64" i="1"/>
  <c r="AI150" i="1"/>
  <c r="U31" i="1"/>
  <c r="G9" i="1"/>
  <c r="AF142" i="1"/>
  <c r="S136" i="1"/>
  <c r="G144" i="1"/>
  <c r="G108" i="1"/>
  <c r="AC150" i="1"/>
  <c r="N38" i="1"/>
  <c r="W24" i="1"/>
  <c r="AE85" i="1"/>
  <c r="AF26" i="1"/>
  <c r="AG121" i="1"/>
  <c r="I59" i="1"/>
  <c r="C54" i="1"/>
  <c r="U28" i="1"/>
  <c r="S149" i="1"/>
  <c r="AA24" i="1"/>
  <c r="C75" i="1"/>
  <c r="S51" i="1"/>
  <c r="AD48" i="1"/>
  <c r="U100" i="1"/>
  <c r="D73" i="1"/>
  <c r="C142" i="1"/>
  <c r="AI35" i="1"/>
  <c r="AA44" i="1"/>
  <c r="F104" i="1"/>
  <c r="F126" i="1"/>
  <c r="W50" i="1"/>
  <c r="E144" i="1"/>
  <c r="Q35" i="1"/>
  <c r="K133" i="1"/>
  <c r="U77" i="1"/>
  <c r="P63" i="1"/>
  <c r="Z74" i="1"/>
  <c r="AF135" i="1"/>
  <c r="E108" i="1"/>
  <c r="Z149" i="1"/>
  <c r="L23" i="1"/>
  <c r="Q30" i="1"/>
  <c r="I43" i="1"/>
  <c r="E59" i="1"/>
  <c r="F131" i="1"/>
  <c r="V56" i="1"/>
  <c r="S7" i="1"/>
  <c r="D109" i="1"/>
  <c r="AG48" i="1"/>
  <c r="X9" i="1"/>
  <c r="D142" i="1"/>
  <c r="AE6" i="1"/>
  <c r="W23" i="1"/>
  <c r="K103" i="1"/>
  <c r="AG108" i="1"/>
  <c r="E35" i="1"/>
  <c r="AE135" i="1"/>
  <c r="M81" i="1"/>
  <c r="AC110" i="1"/>
  <c r="AE49" i="1"/>
  <c r="W13" i="1"/>
  <c r="Y81" i="1"/>
  <c r="L116" i="1"/>
  <c r="I63" i="1"/>
  <c r="R107" i="1"/>
  <c r="W49" i="1"/>
  <c r="E28" i="1"/>
  <c r="AF139" i="1"/>
  <c r="AB30" i="1"/>
  <c r="AF55" i="1"/>
  <c r="L15" i="1"/>
  <c r="H56" i="1"/>
  <c r="H77" i="1"/>
  <c r="AC149" i="1"/>
  <c r="J142" i="1"/>
  <c r="X30" i="1"/>
  <c r="K125" i="1"/>
  <c r="AE82" i="1"/>
  <c r="AI151" i="1"/>
  <c r="L89" i="1"/>
  <c r="Y61" i="1"/>
  <c r="AA152" i="1"/>
  <c r="T11" i="1"/>
  <c r="T72" i="1"/>
  <c r="K92" i="1"/>
  <c r="AE121" i="1"/>
  <c r="X127" i="1"/>
  <c r="Y83" i="1"/>
  <c r="Z90" i="1"/>
  <c r="AF19" i="1"/>
  <c r="AC123" i="1"/>
  <c r="AI139" i="1"/>
  <c r="AI63" i="1"/>
  <c r="I45" i="1"/>
  <c r="AI25" i="1"/>
  <c r="AH139" i="1"/>
  <c r="Y46" i="1"/>
  <c r="O11" i="1"/>
  <c r="AA89" i="1"/>
  <c r="D122" i="1"/>
  <c r="AH90" i="1"/>
  <c r="AB144" i="1"/>
  <c r="AF148" i="1"/>
  <c r="Q44" i="1"/>
  <c r="L60" i="1"/>
  <c r="AF118" i="1"/>
  <c r="G87" i="1"/>
  <c r="U45" i="1"/>
  <c r="H63" i="1"/>
  <c r="AD110" i="1"/>
  <c r="AC11" i="1"/>
  <c r="AB49" i="1"/>
  <c r="AB109" i="1"/>
  <c r="X10" i="1"/>
  <c r="E76" i="1"/>
  <c r="Q52" i="1"/>
  <c r="G109" i="1"/>
  <c r="D143" i="1"/>
  <c r="F96" i="1"/>
  <c r="AE23" i="1"/>
  <c r="V87" i="1"/>
  <c r="AH4" i="1"/>
  <c r="L113" i="1"/>
  <c r="O103" i="1"/>
  <c r="O135" i="1"/>
  <c r="E119" i="1"/>
  <c r="S103" i="1"/>
  <c r="Q153" i="1"/>
  <c r="AA79" i="1"/>
  <c r="AI158" i="1"/>
  <c r="AH119" i="1"/>
  <c r="Y37" i="1"/>
  <c r="M12" i="1"/>
  <c r="AH22" i="1"/>
  <c r="Z141" i="1"/>
  <c r="T93" i="1"/>
  <c r="AF157" i="1"/>
  <c r="X131" i="1"/>
  <c r="AE112" i="1"/>
  <c r="O90" i="1"/>
  <c r="N121" i="1"/>
  <c r="AD58" i="1"/>
  <c r="Z50" i="1"/>
  <c r="AF87" i="1"/>
  <c r="G142" i="1"/>
  <c r="I127" i="1"/>
  <c r="E85" i="1"/>
  <c r="X46" i="1"/>
  <c r="Y65" i="1"/>
  <c r="E118" i="1"/>
  <c r="Z77" i="1"/>
  <c r="E135" i="1"/>
  <c r="AB100" i="1"/>
  <c r="L121" i="1"/>
  <c r="X36" i="1"/>
  <c r="AG71" i="1"/>
  <c r="E71" i="1"/>
  <c r="AB46" i="1"/>
  <c r="AG91" i="1"/>
  <c r="H81" i="1"/>
  <c r="T152" i="1"/>
  <c r="K91" i="1"/>
  <c r="AC124" i="1"/>
  <c r="L35" i="1"/>
  <c r="AD124" i="1"/>
  <c r="O70" i="1"/>
  <c r="G114" i="1"/>
  <c r="AF41" i="1"/>
  <c r="AI88" i="1"/>
  <c r="W36" i="1"/>
  <c r="Z65" i="1"/>
  <c r="K157" i="1"/>
  <c r="U17" i="1"/>
  <c r="O133" i="1"/>
  <c r="AG112" i="1"/>
  <c r="AC83" i="1"/>
  <c r="T120" i="1"/>
  <c r="R33" i="1"/>
  <c r="Z31" i="1"/>
  <c r="K68" i="1"/>
  <c r="G148" i="1"/>
  <c r="P137" i="1"/>
  <c r="AC9" i="1"/>
  <c r="AA34" i="1"/>
  <c r="J144" i="1"/>
  <c r="T10" i="1"/>
  <c r="AA141" i="1"/>
  <c r="AE103" i="1"/>
  <c r="K149" i="1"/>
  <c r="AD75" i="1"/>
  <c r="M103" i="1"/>
  <c r="S34" i="1"/>
  <c r="R117" i="1"/>
  <c r="S47" i="1"/>
  <c r="G20" i="1"/>
  <c r="D81" i="1"/>
  <c r="AF96" i="1"/>
  <c r="S89" i="1"/>
  <c r="Q27" i="1"/>
  <c r="AE119" i="1"/>
  <c r="O27" i="1"/>
  <c r="AB149" i="1"/>
  <c r="AB48" i="1"/>
  <c r="P23" i="1"/>
  <c r="T43" i="1"/>
  <c r="X95" i="1"/>
  <c r="AG129" i="1"/>
  <c r="C49" i="1"/>
  <c r="G38" i="1"/>
  <c r="Y118" i="1"/>
  <c r="J38" i="1"/>
  <c r="AD17" i="1"/>
  <c r="H5" i="1"/>
  <c r="Q132" i="1"/>
  <c r="I7" i="1"/>
  <c r="V97" i="1"/>
  <c r="C145" i="1"/>
  <c r="R78" i="1"/>
  <c r="Q16" i="1"/>
  <c r="O54" i="1"/>
  <c r="AI14" i="1"/>
  <c r="U106" i="1"/>
  <c r="F122" i="1"/>
  <c r="AA84" i="1"/>
  <c r="E133" i="1"/>
  <c r="AF40" i="1"/>
  <c r="Q105" i="1"/>
  <c r="H122" i="1"/>
  <c r="AH121" i="1"/>
  <c r="F127" i="1"/>
  <c r="O30" i="1"/>
  <c r="W30" i="1"/>
  <c r="AD11" i="1"/>
  <c r="O3" i="1"/>
  <c r="AF92" i="1"/>
  <c r="H145" i="1"/>
  <c r="AH40" i="1"/>
  <c r="AE130" i="1"/>
  <c r="AG97" i="1"/>
  <c r="P111" i="1"/>
  <c r="O29" i="1"/>
  <c r="P3" i="1"/>
  <c r="I35" i="1"/>
  <c r="V114" i="1"/>
  <c r="AI58" i="1"/>
  <c r="AE56" i="1"/>
  <c r="I30" i="1"/>
  <c r="T145" i="1"/>
  <c r="AB106" i="1"/>
  <c r="X55" i="1"/>
  <c r="H84" i="1"/>
  <c r="S42" i="1"/>
  <c r="K54" i="1"/>
  <c r="S16" i="1"/>
  <c r="S48" i="1"/>
  <c r="Y100" i="1"/>
  <c r="S56" i="1"/>
  <c r="F141" i="1"/>
  <c r="Y82" i="1"/>
  <c r="M49" i="1"/>
  <c r="AF149" i="1"/>
  <c r="U68" i="1"/>
  <c r="G83" i="1"/>
  <c r="AF72" i="1"/>
  <c r="AG95" i="1"/>
  <c r="AB66" i="1"/>
  <c r="H51" i="1"/>
  <c r="C24" i="1"/>
  <c r="AG20" i="1"/>
  <c r="L58" i="1"/>
  <c r="I132" i="1"/>
  <c r="C124" i="1"/>
  <c r="I151" i="1"/>
  <c r="W158" i="1"/>
  <c r="F48" i="1"/>
  <c r="K72" i="1"/>
  <c r="AD152" i="1"/>
  <c r="V96" i="1"/>
  <c r="L96" i="1"/>
  <c r="V144" i="1"/>
  <c r="U46" i="1"/>
  <c r="G58" i="1"/>
  <c r="H108" i="1"/>
  <c r="R136" i="1"/>
  <c r="P120" i="1"/>
  <c r="AI72" i="1"/>
  <c r="X85" i="1"/>
  <c r="O86" i="1"/>
  <c r="X2" i="1"/>
  <c r="S144" i="1"/>
  <c r="T118" i="1"/>
  <c r="W142" i="1"/>
  <c r="AA7" i="1"/>
  <c r="AD142" i="1"/>
  <c r="X145" i="1"/>
  <c r="U98" i="1"/>
  <c r="J87" i="1"/>
  <c r="AG13" i="1"/>
  <c r="S85" i="1"/>
  <c r="L156" i="1"/>
  <c r="AG24" i="1"/>
  <c r="U21" i="1"/>
  <c r="G93" i="1"/>
  <c r="AE158" i="1"/>
  <c r="AF129" i="1"/>
  <c r="H125" i="1"/>
  <c r="U89" i="1"/>
  <c r="J155" i="1"/>
  <c r="M69" i="1"/>
  <c r="W131" i="1"/>
  <c r="F40" i="1"/>
  <c r="AG29" i="1"/>
  <c r="G67" i="1"/>
  <c r="T35" i="1"/>
  <c r="J45" i="1"/>
  <c r="V153" i="1"/>
  <c r="P20" i="1"/>
  <c r="X140" i="1"/>
  <c r="AG146" i="1"/>
  <c r="M154" i="1"/>
  <c r="H113" i="1"/>
  <c r="V61" i="1"/>
  <c r="Q121" i="1"/>
  <c r="K44" i="1"/>
  <c r="L61" i="1"/>
  <c r="AE58" i="1"/>
  <c r="C125" i="1"/>
  <c r="AC40" i="1"/>
  <c r="T26" i="1"/>
  <c r="E90" i="1"/>
  <c r="C103" i="1"/>
  <c r="I49" i="1"/>
  <c r="N46" i="1"/>
  <c r="W83" i="1"/>
  <c r="M85" i="1"/>
  <c r="N143" i="1"/>
  <c r="N100" i="1"/>
  <c r="C72" i="1"/>
  <c r="T87" i="1"/>
  <c r="AA124" i="1"/>
  <c r="V113" i="1"/>
  <c r="X29" i="1"/>
  <c r="AI87" i="1"/>
  <c r="I8" i="1"/>
  <c r="R42" i="1"/>
  <c r="O56" i="1"/>
  <c r="AC144" i="1"/>
  <c r="AE110" i="1"/>
  <c r="W10" i="1"/>
  <c r="J77" i="1"/>
  <c r="S33" i="1"/>
  <c r="AG75" i="1"/>
  <c r="R66" i="1"/>
  <c r="C121" i="1"/>
  <c r="L38" i="1"/>
  <c r="C68" i="1"/>
  <c r="D34" i="1"/>
  <c r="L137" i="1"/>
  <c r="C18" i="1"/>
  <c r="I6" i="1"/>
  <c r="U102" i="1"/>
  <c r="AD14" i="1"/>
  <c r="AA83" i="1"/>
  <c r="Z30" i="1"/>
  <c r="R116" i="1"/>
  <c r="M66" i="1"/>
  <c r="M38" i="1"/>
  <c r="N114" i="1"/>
  <c r="AB119" i="1"/>
  <c r="L3" i="1"/>
  <c r="AD76" i="1"/>
  <c r="T3" i="1"/>
  <c r="P143" i="1"/>
  <c r="AH56" i="1"/>
  <c r="AA145" i="1"/>
  <c r="AG135" i="1"/>
  <c r="F136" i="1"/>
  <c r="AI45" i="1"/>
  <c r="AE80" i="1"/>
  <c r="Z67" i="1"/>
  <c r="H4" i="1"/>
  <c r="D51" i="1"/>
  <c r="M141" i="1"/>
  <c r="F4" i="1"/>
  <c r="H144" i="1"/>
  <c r="Y51" i="1"/>
  <c r="J42" i="1"/>
  <c r="AF11" i="1"/>
  <c r="W42" i="1"/>
  <c r="I124" i="1"/>
  <c r="Z76" i="1"/>
  <c r="Y45" i="1"/>
  <c r="X103" i="1"/>
  <c r="AB25" i="1"/>
  <c r="AB22" i="1"/>
  <c r="P145" i="1"/>
  <c r="Y139" i="1"/>
  <c r="C104" i="1"/>
  <c r="C48" i="1"/>
  <c r="AA76" i="1"/>
  <c r="Q100" i="1"/>
  <c r="C111" i="1"/>
  <c r="E25" i="1"/>
  <c r="S57" i="1"/>
  <c r="AH25" i="1"/>
  <c r="AF130" i="1"/>
  <c r="AC122" i="1"/>
  <c r="T47" i="1"/>
  <c r="Z125" i="1"/>
  <c r="U114" i="1"/>
  <c r="K77" i="1"/>
  <c r="X139" i="1"/>
  <c r="H68" i="1"/>
  <c r="W136" i="1"/>
  <c r="D94" i="1"/>
  <c r="D54" i="1"/>
  <c r="Y150" i="1"/>
  <c r="P148" i="1"/>
  <c r="U140" i="1"/>
  <c r="AI144" i="1"/>
  <c r="I21" i="1"/>
  <c r="P65" i="1"/>
  <c r="AH27" i="1"/>
  <c r="Q71" i="1"/>
  <c r="G107" i="1"/>
  <c r="V19" i="1"/>
  <c r="AH67" i="1"/>
  <c r="AF20" i="1"/>
  <c r="AF95" i="1"/>
  <c r="AI90" i="1"/>
  <c r="N29" i="1"/>
  <c r="M147" i="1"/>
  <c r="R102" i="1"/>
  <c r="P12" i="1"/>
  <c r="T102" i="1"/>
  <c r="AC91" i="1"/>
  <c r="M91" i="1"/>
  <c r="AD103" i="1"/>
  <c r="U63" i="1"/>
  <c r="N115" i="1"/>
  <c r="AF23" i="1"/>
  <c r="Z9" i="1"/>
  <c r="D25" i="1"/>
  <c r="D146" i="1"/>
  <c r="G154" i="1"/>
  <c r="J6" i="1"/>
  <c r="Y103" i="1"/>
  <c r="AI38" i="1"/>
  <c r="T78" i="1"/>
  <c r="R155" i="1"/>
  <c r="X88" i="1"/>
  <c r="S125" i="1"/>
  <c r="AH108" i="1"/>
  <c r="L100" i="1"/>
  <c r="Z137" i="1"/>
  <c r="X75" i="1"/>
  <c r="AB75" i="1"/>
  <c r="W84" i="1"/>
  <c r="J130" i="1"/>
  <c r="N146" i="1"/>
  <c r="Z83" i="1"/>
  <c r="J20" i="1"/>
  <c r="AH137" i="1"/>
  <c r="H124" i="1"/>
  <c r="AI120" i="1"/>
  <c r="R100" i="1"/>
  <c r="AH141" i="1"/>
  <c r="W12" i="1"/>
  <c r="U125" i="1"/>
  <c r="Y38" i="1"/>
  <c r="AI147" i="1"/>
  <c r="Q46" i="1"/>
  <c r="E30" i="1"/>
  <c r="R27" i="1"/>
  <c r="R85" i="1"/>
  <c r="Z112" i="1"/>
  <c r="E153" i="1"/>
  <c r="V69" i="1"/>
  <c r="K111" i="1"/>
  <c r="AA62" i="1"/>
  <c r="AA73" i="1"/>
  <c r="AH28" i="1"/>
  <c r="P144" i="1"/>
  <c r="I31" i="1"/>
  <c r="H33" i="1"/>
  <c r="R106" i="1"/>
  <c r="AD57" i="1"/>
  <c r="I27" i="1"/>
  <c r="Z85" i="1"/>
  <c r="AG84" i="1"/>
  <c r="AH23" i="1"/>
  <c r="F117" i="1"/>
  <c r="C101" i="1"/>
  <c r="M122" i="1"/>
  <c r="P36" i="1"/>
  <c r="AF116" i="1"/>
  <c r="AH99" i="1"/>
  <c r="N51" i="1"/>
  <c r="R137" i="1"/>
  <c r="H15" i="1"/>
  <c r="S119" i="1"/>
  <c r="G117" i="1"/>
  <c r="R67" i="1"/>
  <c r="U131" i="1"/>
  <c r="Q24" i="1"/>
  <c r="U10" i="1"/>
  <c r="J70" i="1"/>
  <c r="AH131" i="1"/>
  <c r="AH78" i="1"/>
  <c r="C56" i="1"/>
  <c r="I118" i="1"/>
  <c r="H13" i="1"/>
  <c r="I120" i="1"/>
  <c r="J54" i="1"/>
  <c r="L81" i="1"/>
  <c r="AF2" i="1"/>
  <c r="AD41" i="1"/>
  <c r="AD21" i="1"/>
  <c r="AE134" i="1"/>
  <c r="AH75" i="1"/>
  <c r="V108" i="1"/>
  <c r="AI76" i="1"/>
  <c r="Z139" i="1"/>
  <c r="V28" i="1"/>
  <c r="E139" i="1"/>
  <c r="T155" i="1"/>
  <c r="AC128" i="1"/>
  <c r="AD16" i="1"/>
  <c r="AB81" i="1"/>
  <c r="W128" i="1"/>
  <c r="X23" i="1"/>
  <c r="AB141" i="1"/>
  <c r="D131" i="1"/>
  <c r="G136" i="1"/>
  <c r="L95" i="1"/>
  <c r="R157" i="1"/>
  <c r="AF10" i="1"/>
  <c r="H129" i="1"/>
  <c r="V75" i="1"/>
  <c r="AF27" i="1"/>
  <c r="R156" i="1"/>
  <c r="AF8" i="1"/>
  <c r="L20" i="1"/>
  <c r="AH5" i="1"/>
  <c r="X61" i="1"/>
  <c r="N119" i="1"/>
  <c r="L149" i="1"/>
  <c r="Z133" i="1"/>
  <c r="F114" i="1"/>
  <c r="G31" i="1"/>
  <c r="R20" i="1"/>
  <c r="AH153" i="1"/>
  <c r="L142" i="1"/>
  <c r="AD28" i="1"/>
  <c r="T105" i="1"/>
  <c r="Q41" i="1"/>
  <c r="M116" i="1"/>
  <c r="X11" i="1"/>
  <c r="N76" i="1"/>
  <c r="AI107" i="1"/>
  <c r="AE46" i="1"/>
  <c r="U133" i="1"/>
  <c r="O113" i="1"/>
  <c r="I75" i="1"/>
  <c r="O71" i="1"/>
  <c r="O43" i="1"/>
  <c r="F5" i="1"/>
  <c r="X15" i="1"/>
  <c r="Z70" i="1"/>
  <c r="Y79" i="1"/>
  <c r="AB26" i="1"/>
  <c r="G128" i="1"/>
  <c r="Q82" i="1"/>
  <c r="G52" i="1"/>
  <c r="N134" i="1"/>
  <c r="AC75" i="1"/>
  <c r="AA60" i="1"/>
  <c r="E141" i="1"/>
  <c r="AC18" i="1"/>
  <c r="AB155" i="1"/>
  <c r="AI136" i="1"/>
  <c r="N137" i="1"/>
  <c r="C112" i="1"/>
  <c r="Q79" i="1"/>
  <c r="L79" i="1"/>
  <c r="M127" i="1"/>
  <c r="AA158" i="1"/>
  <c r="G112" i="1"/>
  <c r="S86" i="1"/>
  <c r="AA130" i="1"/>
  <c r="AH151" i="1"/>
  <c r="Q88" i="1"/>
  <c r="W130" i="1"/>
  <c r="W14" i="1"/>
  <c r="H158" i="1"/>
  <c r="P66" i="1"/>
  <c r="Z136" i="1"/>
  <c r="R87" i="1"/>
  <c r="I111" i="1"/>
  <c r="AC67" i="1"/>
  <c r="J90" i="1"/>
  <c r="R135" i="1"/>
  <c r="F69" i="1"/>
  <c r="C23" i="1"/>
  <c r="H60" i="1"/>
  <c r="AB59" i="1"/>
  <c r="D13" i="1"/>
  <c r="P9" i="1"/>
  <c r="F42" i="1"/>
  <c r="M25" i="1"/>
  <c r="Z34" i="1"/>
  <c r="AB78" i="1"/>
  <c r="F135" i="1"/>
  <c r="R93" i="1"/>
  <c r="C20" i="1"/>
  <c r="X133" i="1"/>
  <c r="D137" i="1"/>
  <c r="M94" i="1"/>
  <c r="AC51" i="1"/>
  <c r="H38" i="1"/>
  <c r="E39" i="1"/>
  <c r="AI91" i="1"/>
  <c r="P16" i="1"/>
  <c r="E114" i="1"/>
  <c r="O110" i="1"/>
  <c r="E52" i="1"/>
  <c r="M70" i="1"/>
  <c r="G6" i="1"/>
  <c r="AH128" i="1"/>
  <c r="W121" i="1"/>
  <c r="Q158" i="1"/>
  <c r="Q29" i="1"/>
  <c r="D150" i="1"/>
  <c r="N35" i="1"/>
  <c r="AB2" i="1"/>
  <c r="S4" i="1"/>
  <c r="AC26" i="1"/>
  <c r="AB124" i="1"/>
  <c r="M67" i="1"/>
  <c r="E158" i="1"/>
  <c r="V3" i="1"/>
  <c r="I95" i="1"/>
  <c r="P10" i="1"/>
  <c r="C51" i="1"/>
  <c r="V66" i="1"/>
  <c r="M99" i="1"/>
  <c r="C139" i="1"/>
  <c r="D36" i="1"/>
  <c r="J150" i="1"/>
  <c r="AI15" i="1"/>
  <c r="L119" i="1"/>
  <c r="Q72" i="1"/>
  <c r="C86" i="1"/>
  <c r="AE115" i="1"/>
  <c r="D26" i="1"/>
  <c r="L19" i="1"/>
  <c r="M139" i="1"/>
  <c r="F16" i="1"/>
  <c r="F113" i="1"/>
  <c r="D158" i="1"/>
  <c r="I92" i="1"/>
  <c r="G69" i="1"/>
  <c r="AE64" i="1"/>
  <c r="E17" i="1"/>
  <c r="R120" i="1"/>
  <c r="T13" i="1"/>
  <c r="C90" i="1"/>
  <c r="AF151" i="1"/>
  <c r="S158" i="1"/>
  <c r="X42" i="1"/>
  <c r="Y70" i="1"/>
  <c r="AF63" i="1"/>
  <c r="AB56" i="1"/>
  <c r="U118" i="1"/>
  <c r="I50" i="1"/>
  <c r="K21" i="1"/>
  <c r="F74" i="1"/>
  <c r="R98" i="1"/>
  <c r="F46" i="1"/>
  <c r="AH31" i="1"/>
  <c r="AI81" i="1"/>
  <c r="AC111" i="1"/>
  <c r="K113" i="1"/>
  <c r="AB69" i="1"/>
  <c r="X35" i="1"/>
  <c r="AD125" i="1"/>
  <c r="AE57" i="1"/>
  <c r="W109" i="1"/>
  <c r="AC24" i="1"/>
  <c r="H98" i="1"/>
  <c r="I94" i="1"/>
  <c r="Q98" i="1"/>
  <c r="S90" i="1"/>
  <c r="R4" i="1"/>
  <c r="Q110" i="1"/>
  <c r="H157" i="1"/>
  <c r="F97" i="1"/>
  <c r="AE136" i="1"/>
  <c r="C91" i="1"/>
  <c r="H43" i="1"/>
  <c r="O126" i="1"/>
  <c r="R36" i="1"/>
  <c r="P46" i="1"/>
  <c r="R105" i="1"/>
  <c r="K145" i="1"/>
  <c r="H131" i="1"/>
  <c r="AE54" i="1"/>
  <c r="M17" i="1"/>
  <c r="AH8" i="1"/>
  <c r="O51" i="1"/>
  <c r="E5" i="1"/>
  <c r="Z49" i="1"/>
  <c r="AF13" i="1"/>
  <c r="AE51" i="1"/>
  <c r="O38" i="1"/>
  <c r="Z143" i="1"/>
  <c r="AB41" i="1"/>
  <c r="C77" i="1"/>
  <c r="Z12" i="1"/>
  <c r="V80" i="1"/>
  <c r="Q19" i="1"/>
  <c r="H96" i="1"/>
  <c r="AF104" i="1"/>
  <c r="V142" i="1"/>
  <c r="O101" i="1"/>
  <c r="Y52" i="1"/>
  <c r="G53" i="1"/>
  <c r="O124" i="1"/>
  <c r="E106" i="1"/>
  <c r="C8" i="1"/>
  <c r="AB146" i="1"/>
  <c r="L131" i="1"/>
  <c r="K114" i="1"/>
  <c r="M133" i="1"/>
  <c r="AB70" i="1"/>
  <c r="T124" i="1"/>
  <c r="AG142" i="1"/>
  <c r="R24" i="1"/>
  <c r="AI132" i="1"/>
  <c r="AH37" i="1"/>
  <c r="E13" i="1"/>
  <c r="V44" i="1"/>
  <c r="AH76" i="1"/>
  <c r="AE26" i="1"/>
  <c r="V82" i="1"/>
  <c r="I138" i="1"/>
  <c r="AA28" i="1"/>
  <c r="Y129" i="1"/>
  <c r="X32" i="1"/>
  <c r="O122" i="1"/>
  <c r="S14" i="1"/>
  <c r="T116" i="1"/>
  <c r="AA107" i="1"/>
  <c r="J12" i="1"/>
  <c r="H151" i="1"/>
  <c r="T97" i="1"/>
  <c r="P116" i="1"/>
  <c r="P25" i="1"/>
  <c r="C57" i="1"/>
  <c r="M105" i="1"/>
  <c r="AD155" i="1"/>
  <c r="AB36" i="1"/>
  <c r="T99" i="1"/>
  <c r="AF138" i="1"/>
  <c r="V154" i="1"/>
  <c r="V125" i="1"/>
  <c r="G70" i="1"/>
  <c r="I98" i="1"/>
  <c r="AD79" i="1"/>
  <c r="T69" i="1"/>
  <c r="AB133" i="1"/>
  <c r="R77" i="1"/>
  <c r="C69" i="1"/>
  <c r="X72" i="1"/>
  <c r="V81" i="1"/>
  <c r="C122" i="1"/>
  <c r="AC7" i="1"/>
  <c r="AD78" i="1"/>
  <c r="M21" i="1"/>
  <c r="N99" i="1"/>
  <c r="V37" i="1"/>
  <c r="W38" i="1"/>
  <c r="G156" i="1"/>
  <c r="AE96" i="1"/>
  <c r="AI16" i="1"/>
  <c r="F153" i="1"/>
  <c r="AB57" i="1"/>
  <c r="W52" i="1"/>
  <c r="AG58" i="1"/>
  <c r="U158" i="1"/>
  <c r="V139" i="1"/>
  <c r="AI41" i="1"/>
  <c r="AA12" i="1"/>
  <c r="F57" i="1"/>
  <c r="Y74" i="1"/>
  <c r="G18" i="1"/>
  <c r="Z144" i="1"/>
  <c r="S97" i="1"/>
  <c r="J89" i="1"/>
  <c r="F90" i="1"/>
  <c r="X115" i="1"/>
  <c r="D97" i="1"/>
  <c r="P67" i="1"/>
  <c r="X91" i="1"/>
  <c r="Z127" i="1"/>
  <c r="E125" i="1"/>
  <c r="D108" i="1"/>
  <c r="O55" i="1"/>
  <c r="U71" i="1"/>
  <c r="K107" i="1"/>
  <c r="AB101" i="1"/>
  <c r="D7" i="1"/>
  <c r="K55" i="1"/>
  <c r="F101" i="1"/>
  <c r="AC134" i="1"/>
  <c r="Q68" i="1"/>
  <c r="N80" i="1"/>
  <c r="AI8" i="1"/>
  <c r="P115" i="1"/>
  <c r="K7" i="1"/>
  <c r="V88" i="1"/>
  <c r="J64" i="1"/>
  <c r="M19" i="1"/>
  <c r="W104" i="1"/>
  <c r="F66" i="1"/>
  <c r="AG104" i="1"/>
  <c r="F34" i="1"/>
  <c r="U38" i="1"/>
  <c r="O99" i="1"/>
  <c r="M56" i="1"/>
  <c r="I65" i="1"/>
  <c r="S116" i="1"/>
  <c r="P117" i="1"/>
  <c r="I15" i="1"/>
  <c r="X18" i="1"/>
  <c r="AI70" i="1"/>
  <c r="N20" i="1"/>
  <c r="AH87" i="1"/>
  <c r="AG106" i="1"/>
  <c r="AD86" i="1"/>
  <c r="AB112" i="1"/>
  <c r="AH69" i="1"/>
  <c r="AB131" i="1"/>
  <c r="AC55" i="1"/>
  <c r="H71" i="1"/>
  <c r="V104" i="1"/>
  <c r="R81" i="1"/>
  <c r="AG77" i="1"/>
  <c r="G56" i="1"/>
  <c r="V52" i="1"/>
  <c r="L42" i="1"/>
  <c r="S148" i="1"/>
  <c r="AA55" i="1"/>
  <c r="N98" i="1"/>
  <c r="AF144" i="1"/>
  <c r="T38" i="1"/>
  <c r="AA146" i="1"/>
  <c r="J52" i="1"/>
  <c r="Q62" i="1"/>
  <c r="O96" i="1"/>
  <c r="M7" i="1"/>
  <c r="Q150" i="1"/>
  <c r="Q53" i="1"/>
  <c r="J97" i="1"/>
  <c r="S11" i="1"/>
  <c r="Y93" i="1"/>
  <c r="C6" i="1"/>
  <c r="F152" i="1"/>
  <c r="K76" i="1"/>
  <c r="AE90" i="1"/>
  <c r="I38" i="1"/>
  <c r="E98" i="1"/>
  <c r="X57" i="1"/>
  <c r="L5" i="1"/>
  <c r="C39" i="1"/>
  <c r="I87" i="1"/>
  <c r="Q84" i="1"/>
  <c r="I74" i="1"/>
  <c r="C83" i="1"/>
  <c r="J86" i="1"/>
  <c r="P40" i="1"/>
  <c r="D61" i="1"/>
  <c r="J93" i="1"/>
  <c r="Q18" i="1"/>
  <c r="AH152" i="1"/>
  <c r="R41" i="1"/>
  <c r="T75" i="1"/>
  <c r="J2" i="1"/>
  <c r="AF155" i="1"/>
  <c r="AB53" i="1"/>
  <c r="V126" i="1"/>
  <c r="J91" i="1"/>
  <c r="P104" i="1"/>
  <c r="AF126" i="1"/>
  <c r="W138" i="1"/>
  <c r="T66" i="1"/>
  <c r="V49" i="1"/>
  <c r="M84" i="1"/>
  <c r="R83" i="1"/>
  <c r="D77" i="1"/>
  <c r="G86" i="1"/>
  <c r="M126" i="1"/>
  <c r="Y140" i="1"/>
  <c r="G84" i="1"/>
  <c r="K66" i="1"/>
  <c r="Q95" i="1"/>
  <c r="X122" i="1"/>
  <c r="X4" i="1"/>
  <c r="AF46" i="1"/>
  <c r="Q60" i="1"/>
  <c r="AC6" i="1"/>
  <c r="AG143" i="1"/>
  <c r="Y40" i="1"/>
  <c r="AH157" i="1"/>
  <c r="L52" i="1"/>
  <c r="H135" i="1"/>
  <c r="O156" i="1"/>
  <c r="M37" i="1"/>
  <c r="Y8" i="1"/>
  <c r="AC84" i="1"/>
  <c r="AH122" i="1"/>
  <c r="J156" i="1"/>
  <c r="O127" i="1"/>
  <c r="K4" i="1"/>
  <c r="V115" i="1"/>
  <c r="L25" i="1"/>
  <c r="AC20" i="1"/>
  <c r="F36" i="1"/>
  <c r="T147" i="1"/>
  <c r="X60" i="1"/>
  <c r="I89" i="1"/>
  <c r="R56" i="1"/>
  <c r="E56" i="1"/>
  <c r="AB120" i="1"/>
  <c r="P139" i="1"/>
  <c r="W20" i="1"/>
  <c r="O20" i="1"/>
  <c r="C153" i="1"/>
  <c r="X119" i="1"/>
  <c r="X38" i="1"/>
  <c r="AH117" i="1"/>
  <c r="AI102" i="1"/>
  <c r="K80" i="1"/>
  <c r="AG14" i="1"/>
  <c r="G94" i="1"/>
  <c r="N73" i="1"/>
  <c r="O108" i="1"/>
  <c r="Y76" i="1"/>
  <c r="I125" i="1"/>
  <c r="P39" i="1"/>
  <c r="G122" i="1"/>
  <c r="AI7" i="1"/>
  <c r="AE27" i="1"/>
  <c r="F31" i="1"/>
  <c r="AG131" i="1"/>
  <c r="E116" i="1"/>
  <c r="F134" i="1"/>
  <c r="U112" i="1"/>
  <c r="V107" i="1"/>
  <c r="Z92" i="1"/>
  <c r="S83" i="1"/>
  <c r="AI152" i="1"/>
  <c r="AH44" i="1"/>
  <c r="I148" i="1"/>
  <c r="X125" i="1"/>
  <c r="X65" i="1"/>
  <c r="AF97" i="1"/>
  <c r="Q83" i="1"/>
  <c r="D11" i="1"/>
  <c r="AE2" i="1"/>
  <c r="J137" i="1"/>
  <c r="P103" i="1"/>
  <c r="AF100" i="1"/>
  <c r="T136" i="1"/>
  <c r="AC16" i="1"/>
  <c r="J105" i="1"/>
  <c r="M20" i="1"/>
  <c r="Y56" i="1"/>
  <c r="M29" i="1"/>
  <c r="Z94" i="1"/>
  <c r="R113" i="1"/>
  <c r="R14" i="1"/>
  <c r="P135" i="1"/>
  <c r="K36" i="1"/>
  <c r="AF17" i="1"/>
  <c r="X134" i="1"/>
  <c r="E46" i="1"/>
  <c r="J41" i="1"/>
  <c r="U129" i="1"/>
  <c r="S2" i="1"/>
  <c r="R144" i="1"/>
  <c r="K22" i="1"/>
  <c r="AE69" i="1"/>
  <c r="W29" i="1"/>
  <c r="J29" i="1"/>
  <c r="V25" i="1"/>
  <c r="Y113" i="1"/>
  <c r="AD34" i="1"/>
  <c r="N60" i="1"/>
  <c r="T41" i="1"/>
  <c r="Y124" i="1"/>
  <c r="M6" i="1"/>
  <c r="N23" i="1"/>
  <c r="D20" i="1"/>
  <c r="J139" i="1"/>
  <c r="N122" i="1"/>
  <c r="I56" i="1"/>
  <c r="X109" i="1"/>
  <c r="K112" i="1"/>
</calcChain>
</file>

<file path=xl/sharedStrings.xml><?xml version="1.0" encoding="utf-8"?>
<sst xmlns="http://schemas.openxmlformats.org/spreadsheetml/2006/main" count="159" uniqueCount="159">
  <si>
    <t>序号</t>
  </si>
  <si>
    <t>期限(年)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</si>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</sst>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###,###,##0.0000"/>
  </numFmts>
  <fonts count="9">
    <font>
      <sz val="11"/>
      <name val="Calibri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b/>
      <sz val="10"/>
      <color rgb="FF000000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7">
    <border>
      <left/>
      <right/>
      <top/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77" fontId="4" fillId="0" borderId="4" xfId="0" applyNumberFormat="1" applyFont="1" applyBorder="1" applyAlignment="1">
      <alignment horizontal="right" vertical="center"/>
    </xf>
    <xf numFmtId="14" fontId="8" fillId="3" borderId="2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calc_curve_chinabo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8"/>
  <sheetViews>
    <sheetView tabSelected="1" topLeftCell="W1" zoomScaleNormal="100" workbookViewId="0">
      <selection activeCell="AG6" sqref="AG6"/>
    </sheetView>
  </sheetViews>
  <sheetFormatPr defaultRowHeight="14.5"/>
  <cols>
    <col min="1" max="1" width="8.81640625" customWidth="1"/>
    <col min="2" max="31" width="12.81640625" customWidth="1"/>
    <col min="32" max="33" width="10.81640625" bestFit="1" customWidth="1"/>
    <col min="34" max="34" width="10.36328125" bestFit="1" customWidth="1"/>
    <col min="35" max="35" width="10.81640625" bestFit="1" customWidth="1"/>
  </cols>
  <sheetData>
    <row r="1" spans="1:35" ht="19.5" customHeight="1">
      <c r="A1" s="5" t="s">
        <v>0</v>
      </c>
      <c r="B1" s="6" t="s">
        <v>1</v>
      </c>
      <c r="C1" s="8">
        <f ca="1">TODAY()-32</f>
        <v>46163</v>
      </c>
      <c r="D1" s="8">
        <f ca="1">TODAY()-31</f>
        <v>46164</v>
      </c>
      <c r="E1" s="8">
        <f ca="1">TODAY()-30</f>
        <v>46165</v>
      </c>
      <c r="F1" s="8">
        <f ca="1">TODAY()-29</f>
        <v>46166</v>
      </c>
      <c r="G1" s="8">
        <f ca="1">TODAY()-28</f>
        <v>46167</v>
      </c>
      <c r="H1" s="8">
        <f ca="1">TODAY()-27</f>
        <v>46168</v>
      </c>
      <c r="I1" s="8">
        <f ca="1">TODAY()-26</f>
        <v>46169</v>
      </c>
      <c r="J1" s="8">
        <f ca="1">TODAY()-25</f>
        <v>46170</v>
      </c>
      <c r="K1" s="8">
        <f ca="1">TODAY()-24</f>
        <v>46171</v>
      </c>
      <c r="L1" s="8">
        <f ca="1">TODAY()-23</f>
        <v>46172</v>
      </c>
      <c r="M1" s="8">
        <f ca="1">TODAY()-22</f>
        <v>46173</v>
      </c>
      <c r="N1" s="8">
        <f ca="1">TODAY()-21</f>
        <v>46174</v>
      </c>
      <c r="O1" s="8">
        <f ca="1">TODAY()-20</f>
        <v>46175</v>
      </c>
      <c r="P1" s="8">
        <f ca="1">TODAY()-19</f>
        <v>46176</v>
      </c>
      <c r="Q1" s="8">
        <f ca="1">TODAY()-18</f>
        <v>46177</v>
      </c>
      <c r="R1" s="8">
        <f ca="1">TODAY()-17</f>
        <v>46178</v>
      </c>
      <c r="S1" s="8">
        <f ca="1">TODAY()-16</f>
        <v>46179</v>
      </c>
      <c r="T1" s="8">
        <f ca="1">TODAY()-15</f>
        <v>46180</v>
      </c>
      <c r="U1" s="8">
        <f ca="1">TODAY()-14</f>
        <v>46181</v>
      </c>
      <c r="V1" s="8">
        <f ca="1">TODAY()-13</f>
        <v>46182</v>
      </c>
      <c r="W1" s="8">
        <f ca="1">TODAY()-12</f>
        <v>46183</v>
      </c>
      <c r="X1" s="8">
        <f ca="1">TODAY()-11</f>
        <v>46184</v>
      </c>
      <c r="Y1" s="8">
        <f ca="1">TODAY()-10</f>
        <v>46185</v>
      </c>
      <c r="Z1" s="8">
        <f ca="1">TODAY()-9</f>
        <v>46186</v>
      </c>
      <c r="AA1" s="8">
        <f ca="1">TODAY()-8</f>
        <v>46187</v>
      </c>
      <c r="AB1" s="8">
        <f ca="1">TODAY()-7</f>
        <v>46188</v>
      </c>
      <c r="AC1" s="8">
        <f ca="1">TODAY()-6</f>
        <v>46189</v>
      </c>
      <c r="AD1" s="8">
        <f ca="1">TODAY()-5</f>
        <v>46190</v>
      </c>
      <c r="AE1" s="8">
        <f ca="1">TODAY()-4</f>
        <v>46191</v>
      </c>
      <c r="AF1" s="8">
        <f ca="1">TODAY()-3</f>
        <v>46192</v>
      </c>
      <c r="AG1" s="8">
        <f ca="1">TODAY()-2</f>
        <v>46193</v>
      </c>
      <c r="AH1" s="8">
        <f ca="1">TODAY()-1</f>
        <v>46194</v>
      </c>
      <c r="AI1" s="8">
        <f ca="1">TODAY()</f>
        <v>46195</v>
      </c>
    </row>
    <row r="2" spans="1:35" ht="19.5" customHeight="1">
      <c r="A2" s="1" t="s">
        <v>2</v>
      </c>
      <c r="B2" s="2">
        <v>0</v>
      </c>
      <c r="C2" s="7">
        <f ca="1">[1]!b_calc_curve_chinabond("1102",C$1,$B2)</f>
        <v>1.3685</v>
      </c>
      <c r="D2" s="7">
        <f ca="1">[1]!b_calc_curve_chinabond("1102",D$1,$B2)</f>
        <v>1.3553999999999999</v>
      </c>
      <c r="E2" s="7">
        <f ca="1">[1]!b_calc_curve_chinabond("1102",E$1,$B2)</f>
        <v>0</v>
      </c>
      <c r="F2" s="7">
        <f ca="1">[1]!b_calc_curve_chinabond("1102",F$1,$B2)</f>
        <v>0</v>
      </c>
      <c r="G2" s="7">
        <f ca="1">[1]!b_calc_curve_chinabond("1102",G$1,$B2)</f>
        <v>1.3565</v>
      </c>
      <c r="H2" s="7">
        <f ca="1">[1]!b_calc_curve_chinabond("1102",H$1,$B2)</f>
        <v>1.3526</v>
      </c>
      <c r="I2" s="7">
        <f ca="1">[1]!b_calc_curve_chinabond("1102",I$1,$B2)</f>
        <v>1.3726</v>
      </c>
      <c r="J2" s="7">
        <f ca="1">[1]!b_calc_curve_chinabond("1102",J$1,$B2)</f>
        <v>1.3731</v>
      </c>
      <c r="K2" s="7">
        <f ca="1">[1]!b_calc_curve_chinabond("1102",K$1,$B2)</f>
        <v>1.3626</v>
      </c>
      <c r="L2" s="7">
        <f ca="1">[1]!b_calc_curve_chinabond("1102",L$1,$B2)</f>
        <v>0</v>
      </c>
      <c r="M2" s="7">
        <f ca="1">[1]!b_calc_curve_chinabond("1102",M$1,$B2)</f>
        <v>0</v>
      </c>
      <c r="N2" s="7">
        <f ca="1">[1]!b_calc_curve_chinabond("1102",N$1,$B2)</f>
        <v>1.3626</v>
      </c>
      <c r="O2" s="7">
        <f ca="1">[1]!b_calc_curve_chinabond("1102",O$1,$B2)</f>
        <v>1.3375999999999999</v>
      </c>
      <c r="P2" s="7">
        <f ca="1">[1]!b_calc_curve_chinabond("1102",P$1,$B2)</f>
        <v>1.3375999999999999</v>
      </c>
      <c r="Q2" s="7">
        <f ca="1">[1]!b_calc_curve_chinabond("1102",Q$1,$B2)</f>
        <v>1.3327</v>
      </c>
      <c r="R2" s="7">
        <f ca="1">[1]!b_calc_curve_chinabond("1102",R$1,$B2)</f>
        <v>1.39</v>
      </c>
      <c r="S2" s="7">
        <f ca="1">[1]!b_calc_curve_chinabond("1102",S$1,$B2)</f>
        <v>0</v>
      </c>
      <c r="T2" s="7">
        <f ca="1">[1]!b_calc_curve_chinabond("1102",T$1,$B2)</f>
        <v>0</v>
      </c>
      <c r="U2" s="7">
        <f ca="1">[1]!b_calc_curve_chinabond("1102",U$1,$B2)</f>
        <v>1.4</v>
      </c>
      <c r="V2" s="7">
        <f ca="1">[1]!b_calc_curve_chinabond("1102",V$1,$B2)</f>
        <v>1.4</v>
      </c>
      <c r="W2" s="7">
        <f ca="1">[1]!b_calc_curve_chinabond("1102",W$1,$B2)</f>
        <v>1.3974</v>
      </c>
      <c r="X2" s="7">
        <f ca="1">[1]!b_calc_curve_chinabond("1102",X$1,$B2)</f>
        <v>1.4124000000000001</v>
      </c>
      <c r="Y2" s="7">
        <f ca="1">[1]!b_calc_curve_chinabond("1102",Y$1,$B2)</f>
        <v>1.4423999999999999</v>
      </c>
      <c r="Z2" s="7">
        <f ca="1">[1]!b_calc_curve_chinabond("1102",Z$1,$B2)</f>
        <v>0</v>
      </c>
      <c r="AA2" s="7">
        <f ca="1">[1]!b_calc_curve_chinabond("1102",AA$1,$B2)</f>
        <v>0</v>
      </c>
      <c r="AB2" s="7">
        <f ca="1">[1]!b_calc_curve_chinabond("1102",AB$1,$B2)</f>
        <v>1.48</v>
      </c>
      <c r="AC2" s="7">
        <f ca="1">[1]!b_calc_curve_chinabond("1102",AC$1,$B2)</f>
        <v>1.48</v>
      </c>
      <c r="AD2" s="7">
        <f ca="1">[1]!b_calc_curve_chinabond("1102",AD$1,$B2)</f>
        <v>1.5</v>
      </c>
      <c r="AE2" s="7">
        <f ca="1">[1]!b_calc_curve_chinabond("1102",AE$1,$B2)</f>
        <v>1.5</v>
      </c>
      <c r="AF2" s="7">
        <f ca="1">[1]!b_calc_curve_chinabond("1102",AF$1,$B2)</f>
        <v>0</v>
      </c>
      <c r="AG2" s="7">
        <f ca="1">[1]!b_calc_curve_chinabond("1102",AG$1,$B2)</f>
        <v>0</v>
      </c>
      <c r="AH2" s="7">
        <f ca="1">[1]!b_calc_curve_chinabond("1102",AH$1,$B2)</f>
        <v>0</v>
      </c>
      <c r="AI2" s="7">
        <f ca="1">[1]!b_calc_curve_chinabond("1102",AI$1,$B2)</f>
        <v>0</v>
      </c>
    </row>
    <row r="3" spans="1:35" ht="19.5" customHeight="1">
      <c r="A3" s="3" t="s">
        <v>3</v>
      </c>
      <c r="B3" s="4">
        <v>0.02</v>
      </c>
      <c r="C3" s="7">
        <f ca="1">[1]!b_calc_curve_chinabond("1102",C$1,$B3)</f>
        <v>1.3720000000000001</v>
      </c>
      <c r="D3" s="7">
        <f ca="1">[1]!b_calc_curve_chinabond("1102",D$1,$B3)</f>
        <v>1.3628</v>
      </c>
      <c r="E3" s="7">
        <f ca="1">[1]!b_calc_curve_chinabond("1102",E$1,$B3)</f>
        <v>0</v>
      </c>
      <c r="F3" s="7">
        <f ca="1">[1]!b_calc_curve_chinabond("1102",F$1,$B3)</f>
        <v>0</v>
      </c>
      <c r="G3" s="7">
        <f ca="1">[1]!b_calc_curve_chinabond("1102",G$1,$B3)</f>
        <v>1.3638999999999999</v>
      </c>
      <c r="H3" s="7">
        <f ca="1">[1]!b_calc_curve_chinabond("1102",H$1,$B3)</f>
        <v>1.36</v>
      </c>
      <c r="I3" s="7">
        <f ca="1">[1]!b_calc_curve_chinabond("1102",I$1,$B3)</f>
        <v>1.38</v>
      </c>
      <c r="J3" s="7">
        <f ca="1">[1]!b_calc_curve_chinabond("1102",J$1,$B3)</f>
        <v>1.3805000000000001</v>
      </c>
      <c r="K3" s="7">
        <f ca="1">[1]!b_calc_curve_chinabond("1102",K$1,$B3)</f>
        <v>1.37</v>
      </c>
      <c r="L3" s="7">
        <f ca="1">[1]!b_calc_curve_chinabond("1102",L$1,$B3)</f>
        <v>0</v>
      </c>
      <c r="M3" s="7">
        <f ca="1">[1]!b_calc_curve_chinabond("1102",M$1,$B3)</f>
        <v>0</v>
      </c>
      <c r="N3" s="7">
        <f ca="1">[1]!b_calc_curve_chinabond("1102",N$1,$B3)</f>
        <v>1.385</v>
      </c>
      <c r="O3" s="7">
        <f ca="1">[1]!b_calc_curve_chinabond("1102",O$1,$B3)</f>
        <v>1.36</v>
      </c>
      <c r="P3" s="7">
        <f ca="1">[1]!b_calc_curve_chinabond("1102",P$1,$B3)</f>
        <v>1.3998999999999999</v>
      </c>
      <c r="Q3" s="7">
        <f ca="1">[1]!b_calc_curve_chinabond("1102",Q$1,$B3)</f>
        <v>1.395</v>
      </c>
      <c r="R3" s="7">
        <f ca="1">[1]!b_calc_curve_chinabond("1102",R$1,$B3)</f>
        <v>1.39</v>
      </c>
      <c r="S3" s="7">
        <f ca="1">[1]!b_calc_curve_chinabond("1102",S$1,$B3)</f>
        <v>0</v>
      </c>
      <c r="T3" s="7">
        <f ca="1">[1]!b_calc_curve_chinabond("1102",T$1,$B3)</f>
        <v>0</v>
      </c>
      <c r="U3" s="7">
        <f ca="1">[1]!b_calc_curve_chinabond("1102",U$1,$B3)</f>
        <v>1.4</v>
      </c>
      <c r="V3" s="7">
        <f ca="1">[1]!b_calc_curve_chinabond("1102",V$1,$B3)</f>
        <v>1.415</v>
      </c>
      <c r="W3" s="7">
        <f ca="1">[1]!b_calc_curve_chinabond("1102",W$1,$B3)</f>
        <v>1.4124000000000001</v>
      </c>
      <c r="X3" s="7">
        <f ca="1">[1]!b_calc_curve_chinabond("1102",X$1,$B3)</f>
        <v>1.45</v>
      </c>
      <c r="Y3" s="7">
        <f ca="1">[1]!b_calc_curve_chinabond("1102",Y$1,$B3)</f>
        <v>1.48</v>
      </c>
      <c r="Z3" s="7">
        <f ca="1">[1]!b_calc_curve_chinabond("1102",Z$1,$B3)</f>
        <v>0</v>
      </c>
      <c r="AA3" s="7">
        <f ca="1">[1]!b_calc_curve_chinabond("1102",AA$1,$B3)</f>
        <v>0</v>
      </c>
      <c r="AB3" s="7">
        <f ca="1">[1]!b_calc_curve_chinabond("1102",AB$1,$B3)</f>
        <v>1.48</v>
      </c>
      <c r="AC3" s="7">
        <f ca="1">[1]!b_calc_curve_chinabond("1102",AC$1,$B3)</f>
        <v>1.48</v>
      </c>
      <c r="AD3" s="7">
        <f ca="1">[1]!b_calc_curve_chinabond("1102",AD$1,$B3)</f>
        <v>1.5</v>
      </c>
      <c r="AE3" s="7">
        <f ca="1">[1]!b_calc_curve_chinabond("1102",AE$1,$B3)</f>
        <v>1.5</v>
      </c>
      <c r="AF3" s="7">
        <f ca="1">[1]!b_calc_curve_chinabond("1102",AF$1,$B3)</f>
        <v>0</v>
      </c>
      <c r="AG3" s="7">
        <f ca="1">[1]!b_calc_curve_chinabond("1102",AG$1,$B3)</f>
        <v>0</v>
      </c>
      <c r="AH3" s="7">
        <f ca="1">[1]!b_calc_curve_chinabond("1102",AH$1,$B3)</f>
        <v>0</v>
      </c>
      <c r="AI3" s="7">
        <f ca="1">[1]!b_calc_curve_chinabond("1102",AI$1,$B3)</f>
        <v>0</v>
      </c>
    </row>
    <row r="4" spans="1:35" ht="19.5" customHeight="1">
      <c r="A4" s="1" t="s">
        <v>4</v>
      </c>
      <c r="B4" s="2">
        <v>0.04</v>
      </c>
      <c r="C4" s="7">
        <f ca="1">[1]!b_calc_curve_chinabond("1102",C$1,$B4)</f>
        <v>1.3907</v>
      </c>
      <c r="D4" s="7">
        <f ca="1">[1]!b_calc_curve_chinabond("1102",D$1,$B4)</f>
        <v>1.3749</v>
      </c>
      <c r="E4" s="7">
        <f ca="1">[1]!b_calc_curve_chinabond("1102",E$1,$B4)</f>
        <v>0</v>
      </c>
      <c r="F4" s="7">
        <f ca="1">[1]!b_calc_curve_chinabond("1102",F$1,$B4)</f>
        <v>0</v>
      </c>
      <c r="G4" s="7">
        <f ca="1">[1]!b_calc_curve_chinabond("1102",G$1,$B4)</f>
        <v>1.3781000000000001</v>
      </c>
      <c r="H4" s="7">
        <f ca="1">[1]!b_calc_curve_chinabond("1102",H$1,$B4)</f>
        <v>1.36</v>
      </c>
      <c r="I4" s="7">
        <f ca="1">[1]!b_calc_curve_chinabond("1102",I$1,$B4)</f>
        <v>1.38</v>
      </c>
      <c r="J4" s="7">
        <f ca="1">[1]!b_calc_curve_chinabond("1102",J$1,$B4)</f>
        <v>1.3805000000000001</v>
      </c>
      <c r="K4" s="7">
        <f ca="1">[1]!b_calc_curve_chinabond("1102",K$1,$B4)</f>
        <v>1.3777999999999999</v>
      </c>
      <c r="L4" s="7">
        <f ca="1">[1]!b_calc_curve_chinabond("1102",L$1,$B4)</f>
        <v>0</v>
      </c>
      <c r="M4" s="7">
        <f ca="1">[1]!b_calc_curve_chinabond("1102",M$1,$B4)</f>
        <v>0</v>
      </c>
      <c r="N4" s="7">
        <f ca="1">[1]!b_calc_curve_chinabond("1102",N$1,$B4)</f>
        <v>1.3886000000000001</v>
      </c>
      <c r="O4" s="7">
        <f ca="1">[1]!b_calc_curve_chinabond("1102",O$1,$B4)</f>
        <v>1.379</v>
      </c>
      <c r="P4" s="7">
        <f ca="1">[1]!b_calc_curve_chinabond("1102",P$1,$B4)</f>
        <v>1.3945000000000001</v>
      </c>
      <c r="Q4" s="7">
        <f ca="1">[1]!b_calc_curve_chinabond("1102",Q$1,$B4)</f>
        <v>1.395</v>
      </c>
      <c r="R4" s="7">
        <f ca="1">[1]!b_calc_curve_chinabond("1102",R$1,$B4)</f>
        <v>1.39</v>
      </c>
      <c r="S4" s="7">
        <f ca="1">[1]!b_calc_curve_chinabond("1102",S$1,$B4)</f>
        <v>0</v>
      </c>
      <c r="T4" s="7">
        <f ca="1">[1]!b_calc_curve_chinabond("1102",T$1,$B4)</f>
        <v>0</v>
      </c>
      <c r="U4" s="7">
        <f ca="1">[1]!b_calc_curve_chinabond("1102",U$1,$B4)</f>
        <v>1.4</v>
      </c>
      <c r="V4" s="7">
        <f ca="1">[1]!b_calc_curve_chinabond("1102",V$1,$B4)</f>
        <v>1.43</v>
      </c>
      <c r="W4" s="7">
        <f ca="1">[1]!b_calc_curve_chinabond("1102",W$1,$B4)</f>
        <v>1.43</v>
      </c>
      <c r="X4" s="7">
        <f ca="1">[1]!b_calc_curve_chinabond("1102",X$1,$B4)</f>
        <v>1.45</v>
      </c>
      <c r="Y4" s="7">
        <f ca="1">[1]!b_calc_curve_chinabond("1102",Y$1,$B4)</f>
        <v>1.48</v>
      </c>
      <c r="Z4" s="7">
        <f ca="1">[1]!b_calc_curve_chinabond("1102",Z$1,$B4)</f>
        <v>0</v>
      </c>
      <c r="AA4" s="7">
        <f ca="1">[1]!b_calc_curve_chinabond("1102",AA$1,$B4)</f>
        <v>0</v>
      </c>
      <c r="AB4" s="7">
        <f ca="1">[1]!b_calc_curve_chinabond("1102",AB$1,$B4)</f>
        <v>1.48</v>
      </c>
      <c r="AC4" s="7">
        <f ca="1">[1]!b_calc_curve_chinabond("1102",AC$1,$B4)</f>
        <v>1.48</v>
      </c>
      <c r="AD4" s="7">
        <f ca="1">[1]!b_calc_curve_chinabond("1102",AD$1,$B4)</f>
        <v>1.48</v>
      </c>
      <c r="AE4" s="7">
        <f ca="1">[1]!b_calc_curve_chinabond("1102",AE$1,$B4)</f>
        <v>1.5</v>
      </c>
      <c r="AF4" s="7">
        <f ca="1">[1]!b_calc_curve_chinabond("1102",AF$1,$B4)</f>
        <v>0</v>
      </c>
      <c r="AG4" s="7">
        <f ca="1">[1]!b_calc_curve_chinabond("1102",AG$1,$B4)</f>
        <v>0</v>
      </c>
      <c r="AH4" s="7">
        <f ca="1">[1]!b_calc_curve_chinabond("1102",AH$1,$B4)</f>
        <v>0</v>
      </c>
      <c r="AI4" s="7">
        <f ca="1">[1]!b_calc_curve_chinabond("1102",AI$1,$B4)</f>
        <v>0</v>
      </c>
    </row>
    <row r="5" spans="1:35" ht="19.5" customHeight="1">
      <c r="A5" s="3" t="s">
        <v>5</v>
      </c>
      <c r="B5" s="4">
        <v>0.08</v>
      </c>
      <c r="C5" s="7">
        <f ca="1">[1]!b_calc_curve_chinabond("1102",C$1,$B5)</f>
        <v>1.4</v>
      </c>
      <c r="D5" s="7">
        <f ca="1">[1]!b_calc_curve_chinabond("1102",D$1,$B5)</f>
        <v>1.4</v>
      </c>
      <c r="E5" s="7">
        <f ca="1">[1]!b_calc_curve_chinabond("1102",E$1,$B5)</f>
        <v>0</v>
      </c>
      <c r="F5" s="7">
        <f ca="1">[1]!b_calc_curve_chinabond("1102",F$1,$B5)</f>
        <v>0</v>
      </c>
      <c r="G5" s="7">
        <f ca="1">[1]!b_calc_curve_chinabond("1102",G$1,$B5)</f>
        <v>1.4</v>
      </c>
      <c r="H5" s="7">
        <f ca="1">[1]!b_calc_curve_chinabond("1102",H$1,$B5)</f>
        <v>1.3823000000000001</v>
      </c>
      <c r="I5" s="7">
        <f ca="1">[1]!b_calc_curve_chinabond("1102",I$1,$B5)</f>
        <v>1.3904000000000001</v>
      </c>
      <c r="J5" s="7">
        <f ca="1">[1]!b_calc_curve_chinabond("1102",J$1,$B5)</f>
        <v>1.3908</v>
      </c>
      <c r="K5" s="7">
        <f ca="1">[1]!b_calc_curve_chinabond("1102",K$1,$B5)</f>
        <v>1.3804000000000001</v>
      </c>
      <c r="L5" s="7">
        <f ca="1">[1]!b_calc_curve_chinabond("1102",L$1,$B5)</f>
        <v>0</v>
      </c>
      <c r="M5" s="7">
        <f ca="1">[1]!b_calc_curve_chinabond("1102",M$1,$B5)</f>
        <v>0</v>
      </c>
      <c r="N5" s="7">
        <f ca="1">[1]!b_calc_curve_chinabond("1102",N$1,$B5)</f>
        <v>1.3898999999999999</v>
      </c>
      <c r="O5" s="7">
        <f ca="1">[1]!b_calc_curve_chinabond("1102",O$1,$B5)</f>
        <v>1.3956</v>
      </c>
      <c r="P5" s="7">
        <f ca="1">[1]!b_calc_curve_chinabond("1102",P$1,$B5)</f>
        <v>1.4025000000000001</v>
      </c>
      <c r="Q5" s="7">
        <f ca="1">[1]!b_calc_curve_chinabond("1102",Q$1,$B5)</f>
        <v>1.4055</v>
      </c>
      <c r="R5" s="7">
        <f ca="1">[1]!b_calc_curve_chinabond("1102",R$1,$B5)</f>
        <v>1.4071</v>
      </c>
      <c r="S5" s="7">
        <f ca="1">[1]!b_calc_curve_chinabond("1102",S$1,$B5)</f>
        <v>0</v>
      </c>
      <c r="T5" s="7">
        <f ca="1">[1]!b_calc_curve_chinabond("1102",T$1,$B5)</f>
        <v>0</v>
      </c>
      <c r="U5" s="7">
        <f ca="1">[1]!b_calc_curve_chinabond("1102",U$1,$B5)</f>
        <v>1.4103000000000001</v>
      </c>
      <c r="V5" s="7">
        <f ca="1">[1]!b_calc_curve_chinabond("1102",V$1,$B5)</f>
        <v>1.43</v>
      </c>
      <c r="W5" s="7">
        <f ca="1">[1]!b_calc_curve_chinabond("1102",W$1,$B5)</f>
        <v>1.4343999999999999</v>
      </c>
      <c r="X5" s="7">
        <f ca="1">[1]!b_calc_curve_chinabond("1102",X$1,$B5)</f>
        <v>1.4523999999999999</v>
      </c>
      <c r="Y5" s="7">
        <f ca="1">[1]!b_calc_curve_chinabond("1102",Y$1,$B5)</f>
        <v>1.48</v>
      </c>
      <c r="Z5" s="7">
        <f ca="1">[1]!b_calc_curve_chinabond("1102",Z$1,$B5)</f>
        <v>0</v>
      </c>
      <c r="AA5" s="7">
        <f ca="1">[1]!b_calc_curve_chinabond("1102",AA$1,$B5)</f>
        <v>0</v>
      </c>
      <c r="AB5" s="7">
        <f ca="1">[1]!b_calc_curve_chinabond("1102",AB$1,$B5)</f>
        <v>1.48</v>
      </c>
      <c r="AC5" s="7">
        <f ca="1">[1]!b_calc_curve_chinabond("1102",AC$1,$B5)</f>
        <v>1.48</v>
      </c>
      <c r="AD5" s="7">
        <f ca="1">[1]!b_calc_curve_chinabond("1102",AD$1,$B5)</f>
        <v>1.48</v>
      </c>
      <c r="AE5" s="7">
        <f ca="1">[1]!b_calc_curve_chinabond("1102",AE$1,$B5)</f>
        <v>1.5</v>
      </c>
      <c r="AF5" s="7">
        <f ca="1">[1]!b_calc_curve_chinabond("1102",AF$1,$B5)</f>
        <v>0</v>
      </c>
      <c r="AG5" s="7">
        <f ca="1">[1]!b_calc_curve_chinabond("1102",AG$1,$B5)</f>
        <v>0</v>
      </c>
      <c r="AH5" s="7">
        <f ca="1">[1]!b_calc_curve_chinabond("1102",AH$1,$B5)</f>
        <v>0</v>
      </c>
      <c r="AI5" s="7">
        <f ca="1">[1]!b_calc_curve_chinabond("1102",AI$1,$B5)</f>
        <v>0</v>
      </c>
    </row>
    <row r="6" spans="1:35" ht="19.5" customHeight="1">
      <c r="A6" s="1" t="s">
        <v>6</v>
      </c>
      <c r="B6" s="2">
        <v>0.1</v>
      </c>
      <c r="C6" s="7">
        <f ca="1">[1]!b_calc_curve_chinabond("1102",C$1,$B6)</f>
        <v>1.4</v>
      </c>
      <c r="D6" s="7">
        <f ca="1">[1]!b_calc_curve_chinabond("1102",D$1,$B6)</f>
        <v>1.4046000000000001</v>
      </c>
      <c r="E6" s="7">
        <f ca="1">[1]!b_calc_curve_chinabond("1102",E$1,$B6)</f>
        <v>0</v>
      </c>
      <c r="F6" s="7">
        <f ca="1">[1]!b_calc_curve_chinabond("1102",F$1,$B6)</f>
        <v>0</v>
      </c>
      <c r="G6" s="7">
        <f ca="1">[1]!b_calc_curve_chinabond("1102",G$1,$B6)</f>
        <v>1.4</v>
      </c>
      <c r="H6" s="7">
        <f ca="1">[1]!b_calc_curve_chinabond("1102",H$1,$B6)</f>
        <v>1.3920999999999999</v>
      </c>
      <c r="I6" s="7">
        <f ca="1">[1]!b_calc_curve_chinabond("1102",I$1,$B6)</f>
        <v>1.3963000000000001</v>
      </c>
      <c r="J6" s="7">
        <f ca="1">[1]!b_calc_curve_chinabond("1102",J$1,$B6)</f>
        <v>1.3945000000000001</v>
      </c>
      <c r="K6" s="7">
        <f ca="1">[1]!b_calc_curve_chinabond("1102",K$1,$B6)</f>
        <v>1.3834</v>
      </c>
      <c r="L6" s="7">
        <f ca="1">[1]!b_calc_curve_chinabond("1102",L$1,$B6)</f>
        <v>0</v>
      </c>
      <c r="M6" s="7">
        <f ca="1">[1]!b_calc_curve_chinabond("1102",M$1,$B6)</f>
        <v>0</v>
      </c>
      <c r="N6" s="7">
        <f ca="1">[1]!b_calc_curve_chinabond("1102",N$1,$B6)</f>
        <v>1.3908</v>
      </c>
      <c r="O6" s="7">
        <f ca="1">[1]!b_calc_curve_chinabond("1102",O$1,$B6)</f>
        <v>1.3973</v>
      </c>
      <c r="P6" s="7">
        <f ca="1">[1]!b_calc_curve_chinabond("1102",P$1,$B6)</f>
        <v>1.4038999999999999</v>
      </c>
      <c r="Q6" s="7">
        <f ca="1">[1]!b_calc_curve_chinabond("1102",Q$1,$B6)</f>
        <v>1.4072</v>
      </c>
      <c r="R6" s="7">
        <f ca="1">[1]!b_calc_curve_chinabond("1102",R$1,$B6)</f>
        <v>1.41</v>
      </c>
      <c r="S6" s="7">
        <f ca="1">[1]!b_calc_curve_chinabond("1102",S$1,$B6)</f>
        <v>0</v>
      </c>
      <c r="T6" s="7">
        <f ca="1">[1]!b_calc_curve_chinabond("1102",T$1,$B6)</f>
        <v>0</v>
      </c>
      <c r="U6" s="7">
        <f ca="1">[1]!b_calc_curve_chinabond("1102",U$1,$B6)</f>
        <v>1.4127000000000001</v>
      </c>
      <c r="V6" s="7">
        <f ca="1">[1]!b_calc_curve_chinabond("1102",V$1,$B6)</f>
        <v>1.43</v>
      </c>
      <c r="W6" s="7">
        <f ca="1">[1]!b_calc_curve_chinabond("1102",W$1,$B6)</f>
        <v>1.4348000000000001</v>
      </c>
      <c r="X6" s="7">
        <f ca="1">[1]!b_calc_curve_chinabond("1102",X$1,$B6)</f>
        <v>1.4539</v>
      </c>
      <c r="Y6" s="7">
        <f ca="1">[1]!b_calc_curve_chinabond("1102",Y$1,$B6)</f>
        <v>1.4802999999999999</v>
      </c>
      <c r="Z6" s="7">
        <f ca="1">[1]!b_calc_curve_chinabond("1102",Z$1,$B6)</f>
        <v>0</v>
      </c>
      <c r="AA6" s="7">
        <f ca="1">[1]!b_calc_curve_chinabond("1102",AA$1,$B6)</f>
        <v>0</v>
      </c>
      <c r="AB6" s="7">
        <f ca="1">[1]!b_calc_curve_chinabond("1102",AB$1,$B6)</f>
        <v>1.48</v>
      </c>
      <c r="AC6" s="7">
        <f ca="1">[1]!b_calc_curve_chinabond("1102",AC$1,$B6)</f>
        <v>1.4806999999999999</v>
      </c>
      <c r="AD6" s="7">
        <f ca="1">[1]!b_calc_curve_chinabond("1102",AD$1,$B6)</f>
        <v>1.48</v>
      </c>
      <c r="AE6" s="7">
        <f ca="1">[1]!b_calc_curve_chinabond("1102",AE$1,$B6)</f>
        <v>1.5</v>
      </c>
      <c r="AF6" s="7">
        <f ca="1">[1]!b_calc_curve_chinabond("1102",AF$1,$B6)</f>
        <v>0</v>
      </c>
      <c r="AG6" s="7">
        <f ca="1">[1]!b_calc_curve_chinabond("1102",AG$1,$B6)</f>
        <v>0</v>
      </c>
      <c r="AH6" s="7">
        <f ca="1">[1]!b_calc_curve_chinabond("1102",AH$1,$B6)</f>
        <v>0</v>
      </c>
      <c r="AI6" s="7">
        <f ca="1">[1]!b_calc_curve_chinabond("1102",AI$1,$B6)</f>
        <v>0</v>
      </c>
    </row>
    <row r="7" spans="1:35" ht="19.5" customHeight="1">
      <c r="A7" s="3" t="s">
        <v>7</v>
      </c>
      <c r="B7" s="4">
        <v>0.17</v>
      </c>
      <c r="C7" s="7">
        <f ca="1">[1]!b_calc_curve_chinabond("1102",C$1,$B7)</f>
        <v>1.41</v>
      </c>
      <c r="D7" s="7">
        <f ca="1">[1]!b_calc_curve_chinabond("1102",D$1,$B7)</f>
        <v>1.41</v>
      </c>
      <c r="E7" s="7">
        <f ca="1">[1]!b_calc_curve_chinabond("1102",E$1,$B7)</f>
        <v>0</v>
      </c>
      <c r="F7" s="7">
        <f ca="1">[1]!b_calc_curve_chinabond("1102",F$1,$B7)</f>
        <v>0</v>
      </c>
      <c r="G7" s="7">
        <f ca="1">[1]!b_calc_curve_chinabond("1102",G$1,$B7)</f>
        <v>1.4</v>
      </c>
      <c r="H7" s="7">
        <f ca="1">[1]!b_calc_curve_chinabond("1102",H$1,$B7)</f>
        <v>1.41</v>
      </c>
      <c r="I7" s="7">
        <f ca="1">[1]!b_calc_curve_chinabond("1102",I$1,$B7)</f>
        <v>1.41</v>
      </c>
      <c r="J7" s="7">
        <f ca="1">[1]!b_calc_curve_chinabond("1102",J$1,$B7)</f>
        <v>1.405</v>
      </c>
      <c r="K7" s="7">
        <f ca="1">[1]!b_calc_curve_chinabond("1102",K$1,$B7)</f>
        <v>1.4056</v>
      </c>
      <c r="L7" s="7">
        <f ca="1">[1]!b_calc_curve_chinabond("1102",L$1,$B7)</f>
        <v>0</v>
      </c>
      <c r="M7" s="7">
        <f ca="1">[1]!b_calc_curve_chinabond("1102",M$1,$B7)</f>
        <v>0</v>
      </c>
      <c r="N7" s="7">
        <f ca="1">[1]!b_calc_curve_chinabond("1102",N$1,$B7)</f>
        <v>1.4</v>
      </c>
      <c r="O7" s="7">
        <f ca="1">[1]!b_calc_curve_chinabond("1102",O$1,$B7)</f>
        <v>1.4072</v>
      </c>
      <c r="P7" s="7">
        <f ca="1">[1]!b_calc_curve_chinabond("1102",P$1,$B7)</f>
        <v>1.4054</v>
      </c>
      <c r="Q7" s="7">
        <f ca="1">[1]!b_calc_curve_chinabond("1102",Q$1,$B7)</f>
        <v>1.4097</v>
      </c>
      <c r="R7" s="7">
        <f ca="1">[1]!b_calc_curve_chinabond("1102",R$1,$B7)</f>
        <v>1.41</v>
      </c>
      <c r="S7" s="7">
        <f ca="1">[1]!b_calc_curve_chinabond("1102",S$1,$B7)</f>
        <v>0</v>
      </c>
      <c r="T7" s="7">
        <f ca="1">[1]!b_calc_curve_chinabond("1102",T$1,$B7)</f>
        <v>0</v>
      </c>
      <c r="U7" s="7">
        <f ca="1">[1]!b_calc_curve_chinabond("1102",U$1,$B7)</f>
        <v>1.4225000000000001</v>
      </c>
      <c r="V7" s="7">
        <f ca="1">[1]!b_calc_curve_chinabond("1102",V$1,$B7)</f>
        <v>1.4301999999999999</v>
      </c>
      <c r="W7" s="7">
        <f ca="1">[1]!b_calc_curve_chinabond("1102",W$1,$B7)</f>
        <v>1.4382999999999999</v>
      </c>
      <c r="X7" s="7">
        <f ca="1">[1]!b_calc_curve_chinabond("1102",X$1,$B7)</f>
        <v>1.4622999999999999</v>
      </c>
      <c r="Y7" s="7">
        <f ca="1">[1]!b_calc_curve_chinabond("1102",Y$1,$B7)</f>
        <v>1.49</v>
      </c>
      <c r="Z7" s="7">
        <f ca="1">[1]!b_calc_curve_chinabond("1102",Z$1,$B7)</f>
        <v>0</v>
      </c>
      <c r="AA7" s="7">
        <f ca="1">[1]!b_calc_curve_chinabond("1102",AA$1,$B7)</f>
        <v>0</v>
      </c>
      <c r="AB7" s="7">
        <f ca="1">[1]!b_calc_curve_chinabond("1102",AB$1,$B7)</f>
        <v>1.48</v>
      </c>
      <c r="AC7" s="7">
        <f ca="1">[1]!b_calc_curve_chinabond("1102",AC$1,$B7)</f>
        <v>1.4905999999999999</v>
      </c>
      <c r="AD7" s="7">
        <f ca="1">[1]!b_calc_curve_chinabond("1102",AD$1,$B7)</f>
        <v>1.4802</v>
      </c>
      <c r="AE7" s="7">
        <f ca="1">[1]!b_calc_curve_chinabond("1102",AE$1,$B7)</f>
        <v>1.4781</v>
      </c>
      <c r="AF7" s="7">
        <f ca="1">[1]!b_calc_curve_chinabond("1102",AF$1,$B7)</f>
        <v>0</v>
      </c>
      <c r="AG7" s="7">
        <f ca="1">[1]!b_calc_curve_chinabond("1102",AG$1,$B7)</f>
        <v>0</v>
      </c>
      <c r="AH7" s="7">
        <f ca="1">[1]!b_calc_curve_chinabond("1102",AH$1,$B7)</f>
        <v>0</v>
      </c>
      <c r="AI7" s="7">
        <f ca="1">[1]!b_calc_curve_chinabond("1102",AI$1,$B7)</f>
        <v>0</v>
      </c>
    </row>
    <row r="8" spans="1:35" ht="19.5" customHeight="1">
      <c r="A8" s="1" t="s">
        <v>8</v>
      </c>
      <c r="B8" s="2">
        <v>0.2</v>
      </c>
      <c r="C8" s="7">
        <f ca="1">[1]!b_calc_curve_chinabond("1102",C$1,$B8)</f>
        <v>1.41</v>
      </c>
      <c r="D8" s="7">
        <f ca="1">[1]!b_calc_curve_chinabond("1102",D$1,$B8)</f>
        <v>1.41</v>
      </c>
      <c r="E8" s="7">
        <f ca="1">[1]!b_calc_curve_chinabond("1102",E$1,$B8)</f>
        <v>0</v>
      </c>
      <c r="F8" s="7">
        <f ca="1">[1]!b_calc_curve_chinabond("1102",F$1,$B8)</f>
        <v>0</v>
      </c>
      <c r="G8" s="7">
        <f ca="1">[1]!b_calc_curve_chinabond("1102",G$1,$B8)</f>
        <v>1.4</v>
      </c>
      <c r="H8" s="7">
        <f ca="1">[1]!b_calc_curve_chinabond("1102",H$1,$B8)</f>
        <v>1.41</v>
      </c>
      <c r="I8" s="7">
        <f ca="1">[1]!b_calc_curve_chinabond("1102",I$1,$B8)</f>
        <v>1.41</v>
      </c>
      <c r="J8" s="7">
        <f ca="1">[1]!b_calc_curve_chinabond("1102",J$1,$B8)</f>
        <v>1.405</v>
      </c>
      <c r="K8" s="7">
        <f ca="1">[1]!b_calc_curve_chinabond("1102",K$1,$B8)</f>
        <v>1.4131</v>
      </c>
      <c r="L8" s="7">
        <f ca="1">[1]!b_calc_curve_chinabond("1102",L$1,$B8)</f>
        <v>0</v>
      </c>
      <c r="M8" s="7">
        <f ca="1">[1]!b_calc_curve_chinabond("1102",M$1,$B8)</f>
        <v>0</v>
      </c>
      <c r="N8" s="7">
        <f ca="1">[1]!b_calc_curve_chinabond("1102",N$1,$B8)</f>
        <v>1.4068000000000001</v>
      </c>
      <c r="O8" s="7">
        <f ca="1">[1]!b_calc_curve_chinabond("1102",O$1,$B8)</f>
        <v>1.4091</v>
      </c>
      <c r="P8" s="7">
        <f ca="1">[1]!b_calc_curve_chinabond("1102",P$1,$B8)</f>
        <v>1.407</v>
      </c>
      <c r="Q8" s="7">
        <f ca="1">[1]!b_calc_curve_chinabond("1102",Q$1,$B8)</f>
        <v>1.4100999999999999</v>
      </c>
      <c r="R8" s="7">
        <f ca="1">[1]!b_calc_curve_chinabond("1102",R$1,$B8)</f>
        <v>1.4103000000000001</v>
      </c>
      <c r="S8" s="7">
        <f ca="1">[1]!b_calc_curve_chinabond("1102",S$1,$B8)</f>
        <v>0</v>
      </c>
      <c r="T8" s="7">
        <f ca="1">[1]!b_calc_curve_chinabond("1102",T$1,$B8)</f>
        <v>0</v>
      </c>
      <c r="U8" s="7">
        <f ca="1">[1]!b_calc_curve_chinabond("1102",U$1,$B8)</f>
        <v>1.4337</v>
      </c>
      <c r="V8" s="7">
        <f ca="1">[1]!b_calc_curve_chinabond("1102",V$1,$B8)</f>
        <v>1.4345000000000001</v>
      </c>
      <c r="W8" s="7">
        <f ca="1">[1]!b_calc_curve_chinabond("1102",W$1,$B8)</f>
        <v>1.4419999999999999</v>
      </c>
      <c r="X8" s="7">
        <f ca="1">[1]!b_calc_curve_chinabond("1102",X$1,$B8)</f>
        <v>1.4684999999999999</v>
      </c>
      <c r="Y8" s="7">
        <f ca="1">[1]!b_calc_curve_chinabond("1102",Y$1,$B8)</f>
        <v>1.49</v>
      </c>
      <c r="Z8" s="7">
        <f ca="1">[1]!b_calc_curve_chinabond("1102",Z$1,$B8)</f>
        <v>0</v>
      </c>
      <c r="AA8" s="7">
        <f ca="1">[1]!b_calc_curve_chinabond("1102",AA$1,$B8)</f>
        <v>0</v>
      </c>
      <c r="AB8" s="7">
        <f ca="1">[1]!b_calc_curve_chinabond("1102",AB$1,$B8)</f>
        <v>1.48</v>
      </c>
      <c r="AC8" s="7">
        <f ca="1">[1]!b_calc_curve_chinabond("1102",AC$1,$B8)</f>
        <v>1.4933000000000001</v>
      </c>
      <c r="AD8" s="7">
        <f ca="1">[1]!b_calc_curve_chinabond("1102",AD$1,$B8)</f>
        <v>1.4826999999999999</v>
      </c>
      <c r="AE8" s="7">
        <f ca="1">[1]!b_calc_curve_chinabond("1102",AE$1,$B8)</f>
        <v>1.4779</v>
      </c>
      <c r="AF8" s="7">
        <f ca="1">[1]!b_calc_curve_chinabond("1102",AF$1,$B8)</f>
        <v>0</v>
      </c>
      <c r="AG8" s="7">
        <f ca="1">[1]!b_calc_curve_chinabond("1102",AG$1,$B8)</f>
        <v>0</v>
      </c>
      <c r="AH8" s="7">
        <f ca="1">[1]!b_calc_curve_chinabond("1102",AH$1,$B8)</f>
        <v>0</v>
      </c>
      <c r="AI8" s="7">
        <f ca="1">[1]!b_calc_curve_chinabond("1102",AI$1,$B8)</f>
        <v>0</v>
      </c>
    </row>
    <row r="9" spans="1:35" ht="19.5" customHeight="1">
      <c r="A9" s="3" t="s">
        <v>9</v>
      </c>
      <c r="B9" s="4">
        <v>0.25</v>
      </c>
      <c r="C9" s="7">
        <f ca="1">[1]!b_calc_curve_chinabond("1102",C$1,$B9)</f>
        <v>1.41</v>
      </c>
      <c r="D9" s="7">
        <f ca="1">[1]!b_calc_curve_chinabond("1102",D$1,$B9)</f>
        <v>1.41</v>
      </c>
      <c r="E9" s="7">
        <f ca="1">[1]!b_calc_curve_chinabond("1102",E$1,$B9)</f>
        <v>0</v>
      </c>
      <c r="F9" s="7">
        <f ca="1">[1]!b_calc_curve_chinabond("1102",F$1,$B9)</f>
        <v>0</v>
      </c>
      <c r="G9" s="7">
        <f ca="1">[1]!b_calc_curve_chinabond("1102",G$1,$B9)</f>
        <v>1.4000999999999999</v>
      </c>
      <c r="H9" s="7">
        <f ca="1">[1]!b_calc_curve_chinabond("1102",H$1,$B9)</f>
        <v>1.41</v>
      </c>
      <c r="I9" s="7">
        <f ca="1">[1]!b_calc_curve_chinabond("1102",I$1,$B9)</f>
        <v>1.41</v>
      </c>
      <c r="J9" s="7">
        <f ca="1">[1]!b_calc_curve_chinabond("1102",J$1,$B9)</f>
        <v>1.405</v>
      </c>
      <c r="K9" s="7">
        <f ca="1">[1]!b_calc_curve_chinabond("1102",K$1,$B9)</f>
        <v>1.4187000000000001</v>
      </c>
      <c r="L9" s="7">
        <f ca="1">[1]!b_calc_curve_chinabond("1102",L$1,$B9)</f>
        <v>0</v>
      </c>
      <c r="M9" s="7">
        <f ca="1">[1]!b_calc_curve_chinabond("1102",M$1,$B9)</f>
        <v>0</v>
      </c>
      <c r="N9" s="7">
        <f ca="1">[1]!b_calc_curve_chinabond("1102",N$1,$B9)</f>
        <v>1.4144000000000001</v>
      </c>
      <c r="O9" s="7">
        <f ca="1">[1]!b_calc_curve_chinabond("1102",O$1,$B9)</f>
        <v>1.41</v>
      </c>
      <c r="P9" s="7">
        <f ca="1">[1]!b_calc_curve_chinabond("1102",P$1,$B9)</f>
        <v>1.41</v>
      </c>
      <c r="Q9" s="7">
        <f ca="1">[1]!b_calc_curve_chinabond("1102",Q$1,$B9)</f>
        <v>1.4137</v>
      </c>
      <c r="R9" s="7">
        <f ca="1">[1]!b_calc_curve_chinabond("1102",R$1,$B9)</f>
        <v>1.4178999999999999</v>
      </c>
      <c r="S9" s="7">
        <f ca="1">[1]!b_calc_curve_chinabond("1102",S$1,$B9)</f>
        <v>0</v>
      </c>
      <c r="T9" s="7">
        <f ca="1">[1]!b_calc_curve_chinabond("1102",T$1,$B9)</f>
        <v>0</v>
      </c>
      <c r="U9" s="7">
        <f ca="1">[1]!b_calc_curve_chinabond("1102",U$1,$B9)</f>
        <v>1.44</v>
      </c>
      <c r="V9" s="7">
        <f ca="1">[1]!b_calc_curve_chinabond("1102",V$1,$B9)</f>
        <v>1.4421999999999999</v>
      </c>
      <c r="W9" s="7">
        <f ca="1">[1]!b_calc_curve_chinabond("1102",W$1,$B9)</f>
        <v>1.4516</v>
      </c>
      <c r="X9" s="7">
        <f ca="1">[1]!b_calc_curve_chinabond("1102",X$1,$B9)</f>
        <v>1.4822</v>
      </c>
      <c r="Y9" s="7">
        <f ca="1">[1]!b_calc_curve_chinabond("1102",Y$1,$B9)</f>
        <v>1.49</v>
      </c>
      <c r="Z9" s="7">
        <f ca="1">[1]!b_calc_curve_chinabond("1102",Z$1,$B9)</f>
        <v>0</v>
      </c>
      <c r="AA9" s="7">
        <f ca="1">[1]!b_calc_curve_chinabond("1102",AA$1,$B9)</f>
        <v>0</v>
      </c>
      <c r="AB9" s="7">
        <f ca="1">[1]!b_calc_curve_chinabond("1102",AB$1,$B9)</f>
        <v>1.4802999999999999</v>
      </c>
      <c r="AC9" s="7">
        <f ca="1">[1]!b_calc_curve_chinabond("1102",AC$1,$B9)</f>
        <v>1.4968999999999999</v>
      </c>
      <c r="AD9" s="7">
        <f ca="1">[1]!b_calc_curve_chinabond("1102",AD$1,$B9)</f>
        <v>1.4888999999999999</v>
      </c>
      <c r="AE9" s="7">
        <f ca="1">[1]!b_calc_curve_chinabond("1102",AE$1,$B9)</f>
        <v>1.4799</v>
      </c>
      <c r="AF9" s="7">
        <f ca="1">[1]!b_calc_curve_chinabond("1102",AF$1,$B9)</f>
        <v>0</v>
      </c>
      <c r="AG9" s="7">
        <f ca="1">[1]!b_calc_curve_chinabond("1102",AG$1,$B9)</f>
        <v>0</v>
      </c>
      <c r="AH9" s="7">
        <f ca="1">[1]!b_calc_curve_chinabond("1102",AH$1,$B9)</f>
        <v>0</v>
      </c>
      <c r="AI9" s="7">
        <f ca="1">[1]!b_calc_curve_chinabond("1102",AI$1,$B9)</f>
        <v>0</v>
      </c>
    </row>
    <row r="10" spans="1:35" ht="19.5" customHeight="1">
      <c r="A10" s="1" t="s">
        <v>10</v>
      </c>
      <c r="B10" s="2">
        <v>0.3</v>
      </c>
      <c r="C10" s="7">
        <f ca="1">[1]!b_calc_curve_chinabond("1102",C$1,$B10)</f>
        <v>1.4105000000000001</v>
      </c>
      <c r="D10" s="7">
        <f ca="1">[1]!b_calc_curve_chinabond("1102",D$1,$B10)</f>
        <v>1.4104000000000001</v>
      </c>
      <c r="E10" s="7">
        <f ca="1">[1]!b_calc_curve_chinabond("1102",E$1,$B10)</f>
        <v>0</v>
      </c>
      <c r="F10" s="7">
        <f ca="1">[1]!b_calc_curve_chinabond("1102",F$1,$B10)</f>
        <v>0</v>
      </c>
      <c r="G10" s="7">
        <f ca="1">[1]!b_calc_curve_chinabond("1102",G$1,$B10)</f>
        <v>1.4014</v>
      </c>
      <c r="H10" s="7">
        <f ca="1">[1]!b_calc_curve_chinabond("1102",H$1,$B10)</f>
        <v>1.4103000000000001</v>
      </c>
      <c r="I10" s="7">
        <f ca="1">[1]!b_calc_curve_chinabond("1102",I$1,$B10)</f>
        <v>1.41</v>
      </c>
      <c r="J10" s="7">
        <f ca="1">[1]!b_calc_curve_chinabond("1102",J$1,$B10)</f>
        <v>1.4057999999999999</v>
      </c>
      <c r="K10" s="7">
        <f ca="1">[1]!b_calc_curve_chinabond("1102",K$1,$B10)</f>
        <v>1.42</v>
      </c>
      <c r="L10" s="7">
        <f ca="1">[1]!b_calc_curve_chinabond("1102",L$1,$B10)</f>
        <v>0</v>
      </c>
      <c r="M10" s="7">
        <f ca="1">[1]!b_calc_curve_chinabond("1102",M$1,$B10)</f>
        <v>0</v>
      </c>
      <c r="N10" s="7">
        <f ca="1">[1]!b_calc_curve_chinabond("1102",N$1,$B10)</f>
        <v>1.415</v>
      </c>
      <c r="O10" s="7">
        <f ca="1">[1]!b_calc_curve_chinabond("1102",O$1,$B10)</f>
        <v>1.41</v>
      </c>
      <c r="P10" s="7">
        <f ca="1">[1]!b_calc_curve_chinabond("1102",P$1,$B10)</f>
        <v>1.4124000000000001</v>
      </c>
      <c r="Q10" s="7">
        <f ca="1">[1]!b_calc_curve_chinabond("1102",Q$1,$B10)</f>
        <v>1.4174</v>
      </c>
      <c r="R10" s="7">
        <f ca="1">[1]!b_calc_curve_chinabond("1102",R$1,$B10)</f>
        <v>1.425</v>
      </c>
      <c r="S10" s="7">
        <f ca="1">[1]!b_calc_curve_chinabond("1102",S$1,$B10)</f>
        <v>0</v>
      </c>
      <c r="T10" s="7">
        <f ca="1">[1]!b_calc_curve_chinabond("1102",T$1,$B10)</f>
        <v>0</v>
      </c>
      <c r="U10" s="7">
        <f ca="1">[1]!b_calc_curve_chinabond("1102",U$1,$B10)</f>
        <v>1.44</v>
      </c>
      <c r="V10" s="7">
        <f ca="1">[1]!b_calc_curve_chinabond("1102",V$1,$B10)</f>
        <v>1.4469000000000001</v>
      </c>
      <c r="W10" s="7">
        <f ca="1">[1]!b_calc_curve_chinabond("1102",W$1,$B10)</f>
        <v>1.4613</v>
      </c>
      <c r="X10" s="7">
        <f ca="1">[1]!b_calc_curve_chinabond("1102",X$1,$B10)</f>
        <v>1.4833000000000001</v>
      </c>
      <c r="Y10" s="7">
        <f ca="1">[1]!b_calc_curve_chinabond("1102",Y$1,$B10)</f>
        <v>1.49</v>
      </c>
      <c r="Z10" s="7">
        <f ca="1">[1]!b_calc_curve_chinabond("1102",Z$1,$B10)</f>
        <v>0</v>
      </c>
      <c r="AA10" s="7">
        <f ca="1">[1]!b_calc_curve_chinabond("1102",AA$1,$B10)</f>
        <v>0</v>
      </c>
      <c r="AB10" s="7">
        <f ca="1">[1]!b_calc_curve_chinabond("1102",AB$1,$B10)</f>
        <v>1.4853000000000001</v>
      </c>
      <c r="AC10" s="7">
        <f ca="1">[1]!b_calc_curve_chinabond("1102",AC$1,$B10)</f>
        <v>1.5002</v>
      </c>
      <c r="AD10" s="7">
        <f ca="1">[1]!b_calc_curve_chinabond("1102",AD$1,$B10)</f>
        <v>1.4934000000000001</v>
      </c>
      <c r="AE10" s="7">
        <f ca="1">[1]!b_calc_curve_chinabond("1102",AE$1,$B10)</f>
        <v>1.4829000000000001</v>
      </c>
      <c r="AF10" s="7">
        <f ca="1">[1]!b_calc_curve_chinabond("1102",AF$1,$B10)</f>
        <v>0</v>
      </c>
      <c r="AG10" s="7">
        <f ca="1">[1]!b_calc_curve_chinabond("1102",AG$1,$B10)</f>
        <v>0</v>
      </c>
      <c r="AH10" s="7">
        <f ca="1">[1]!b_calc_curve_chinabond("1102",AH$1,$B10)</f>
        <v>0</v>
      </c>
      <c r="AI10" s="7">
        <f ca="1">[1]!b_calc_curve_chinabond("1102",AI$1,$B10)</f>
        <v>0</v>
      </c>
    </row>
    <row r="11" spans="1:35" ht="19.5" customHeight="1">
      <c r="A11" s="3" t="s">
        <v>11</v>
      </c>
      <c r="B11" s="4">
        <v>0.4</v>
      </c>
      <c r="C11" s="7">
        <f ca="1">[1]!b_calc_curve_chinabond("1102",C$1,$B11)</f>
        <v>1.4129</v>
      </c>
      <c r="D11" s="7">
        <f ca="1">[1]!b_calc_curve_chinabond("1102",D$1,$B11)</f>
        <v>1.4119999999999999</v>
      </c>
      <c r="E11" s="7">
        <f ca="1">[1]!b_calc_curve_chinabond("1102",E$1,$B11)</f>
        <v>0</v>
      </c>
      <c r="F11" s="7">
        <f ca="1">[1]!b_calc_curve_chinabond("1102",F$1,$B11)</f>
        <v>0</v>
      </c>
      <c r="G11" s="7">
        <f ca="1">[1]!b_calc_curve_chinabond("1102",G$1,$B11)</f>
        <v>1.4073</v>
      </c>
      <c r="H11" s="7">
        <f ca="1">[1]!b_calc_curve_chinabond("1102",H$1,$B11)</f>
        <v>1.4124000000000001</v>
      </c>
      <c r="I11" s="7">
        <f ca="1">[1]!b_calc_curve_chinabond("1102",I$1,$B11)</f>
        <v>1.41</v>
      </c>
      <c r="J11" s="7">
        <f ca="1">[1]!b_calc_curve_chinabond("1102",J$1,$B11)</f>
        <v>1.4101999999999999</v>
      </c>
      <c r="K11" s="7">
        <f ca="1">[1]!b_calc_curve_chinabond("1102",K$1,$B11)</f>
        <v>1.42</v>
      </c>
      <c r="L11" s="7">
        <f ca="1">[1]!b_calc_curve_chinabond("1102",L$1,$B11)</f>
        <v>0</v>
      </c>
      <c r="M11" s="7">
        <f ca="1">[1]!b_calc_curve_chinabond("1102",M$1,$B11)</f>
        <v>0</v>
      </c>
      <c r="N11" s="7">
        <f ca="1">[1]!b_calc_curve_chinabond("1102",N$1,$B11)</f>
        <v>1.415</v>
      </c>
      <c r="O11" s="7">
        <f ca="1">[1]!b_calc_curve_chinabond("1102",O$1,$B11)</f>
        <v>1.41</v>
      </c>
      <c r="P11" s="7">
        <f ca="1">[1]!b_calc_curve_chinabond("1102",P$1,$B11)</f>
        <v>1.4175</v>
      </c>
      <c r="Q11" s="7">
        <f ca="1">[1]!b_calc_curve_chinabond("1102",Q$1,$B11)</f>
        <v>1.4242999999999999</v>
      </c>
      <c r="R11" s="7">
        <f ca="1">[1]!b_calc_curve_chinabond("1102",R$1,$B11)</f>
        <v>1.4362999999999999</v>
      </c>
      <c r="S11" s="7">
        <f ca="1">[1]!b_calc_curve_chinabond("1102",S$1,$B11)</f>
        <v>0</v>
      </c>
      <c r="T11" s="7">
        <f ca="1">[1]!b_calc_curve_chinabond("1102",T$1,$B11)</f>
        <v>0</v>
      </c>
      <c r="U11" s="7">
        <f ca="1">[1]!b_calc_curve_chinabond("1102",U$1,$B11)</f>
        <v>1.44</v>
      </c>
      <c r="V11" s="7">
        <f ca="1">[1]!b_calc_curve_chinabond("1102",V$1,$B11)</f>
        <v>1.4518</v>
      </c>
      <c r="W11" s="7">
        <f ca="1">[1]!b_calc_curve_chinabond("1102",W$1,$B11)</f>
        <v>1.47</v>
      </c>
      <c r="X11" s="7">
        <f ca="1">[1]!b_calc_curve_chinabond("1102",X$1,$B11)</f>
        <v>1.4833000000000001</v>
      </c>
      <c r="Y11" s="7">
        <f ca="1">[1]!b_calc_curve_chinabond("1102",Y$1,$B11)</f>
        <v>1.49</v>
      </c>
      <c r="Z11" s="7">
        <f ca="1">[1]!b_calc_curve_chinabond("1102",Z$1,$B11)</f>
        <v>0</v>
      </c>
      <c r="AA11" s="7">
        <f ca="1">[1]!b_calc_curve_chinabond("1102",AA$1,$B11)</f>
        <v>0</v>
      </c>
      <c r="AB11" s="7">
        <f ca="1">[1]!b_calc_curve_chinabond("1102",AB$1,$B11)</f>
        <v>1.5019</v>
      </c>
      <c r="AC11" s="7">
        <f ca="1">[1]!b_calc_curve_chinabond("1102",AC$1,$B11)</f>
        <v>1.5054000000000001</v>
      </c>
      <c r="AD11" s="7">
        <f ca="1">[1]!b_calc_curve_chinabond("1102",AD$1,$B11)</f>
        <v>1.4985999999999999</v>
      </c>
      <c r="AE11" s="7">
        <f ca="1">[1]!b_calc_curve_chinabond("1102",AE$1,$B11)</f>
        <v>1.4931000000000001</v>
      </c>
      <c r="AF11" s="7">
        <f ca="1">[1]!b_calc_curve_chinabond("1102",AF$1,$B11)</f>
        <v>0</v>
      </c>
      <c r="AG11" s="7">
        <f ca="1">[1]!b_calc_curve_chinabond("1102",AG$1,$B11)</f>
        <v>0</v>
      </c>
      <c r="AH11" s="7">
        <f ca="1">[1]!b_calc_curve_chinabond("1102",AH$1,$B11)</f>
        <v>0</v>
      </c>
      <c r="AI11" s="7">
        <f ca="1">[1]!b_calc_curve_chinabond("1102",AI$1,$B11)</f>
        <v>0</v>
      </c>
    </row>
    <row r="12" spans="1:35" ht="19.5" customHeight="1">
      <c r="A12" s="1" t="s">
        <v>12</v>
      </c>
      <c r="B12" s="2">
        <v>0.5</v>
      </c>
      <c r="C12" s="7">
        <f ca="1">[1]!b_calc_curve_chinabond("1102",C$1,$B12)</f>
        <v>1.4157999999999999</v>
      </c>
      <c r="D12" s="7">
        <f ca="1">[1]!b_calc_curve_chinabond("1102",D$1,$B12)</f>
        <v>1.4139999999999999</v>
      </c>
      <c r="E12" s="7">
        <f ca="1">[1]!b_calc_curve_chinabond("1102",E$1,$B12)</f>
        <v>0</v>
      </c>
      <c r="F12" s="7">
        <f ca="1">[1]!b_calc_curve_chinabond("1102",F$1,$B12)</f>
        <v>0</v>
      </c>
      <c r="G12" s="7">
        <f ca="1">[1]!b_calc_curve_chinabond("1102",G$1,$B12)</f>
        <v>1.4135</v>
      </c>
      <c r="H12" s="7">
        <f ca="1">[1]!b_calc_curve_chinabond("1102",H$1,$B12)</f>
        <v>1.4149</v>
      </c>
      <c r="I12" s="7">
        <f ca="1">[1]!b_calc_curve_chinabond("1102",I$1,$B12)</f>
        <v>1.4101999999999999</v>
      </c>
      <c r="J12" s="7">
        <f ca="1">[1]!b_calc_curve_chinabond("1102",J$1,$B12)</f>
        <v>1.4152</v>
      </c>
      <c r="K12" s="7">
        <f ca="1">[1]!b_calc_curve_chinabond("1102",K$1,$B12)</f>
        <v>1.42</v>
      </c>
      <c r="L12" s="7">
        <f ca="1">[1]!b_calc_curve_chinabond("1102",L$1,$B12)</f>
        <v>0</v>
      </c>
      <c r="M12" s="7">
        <f ca="1">[1]!b_calc_curve_chinabond("1102",M$1,$B12)</f>
        <v>0</v>
      </c>
      <c r="N12" s="7">
        <f ca="1">[1]!b_calc_curve_chinabond("1102",N$1,$B12)</f>
        <v>1.4151</v>
      </c>
      <c r="O12" s="7">
        <f ca="1">[1]!b_calc_curve_chinabond("1102",O$1,$B12)</f>
        <v>1.41</v>
      </c>
      <c r="P12" s="7">
        <f ca="1">[1]!b_calc_curve_chinabond("1102",P$1,$B12)</f>
        <v>1.4225000000000001</v>
      </c>
      <c r="Q12" s="7">
        <f ca="1">[1]!b_calc_curve_chinabond("1102",Q$1,$B12)</f>
        <v>1.4312</v>
      </c>
      <c r="R12" s="7">
        <f ca="1">[1]!b_calc_curve_chinabond("1102",R$1,$B12)</f>
        <v>1.4437</v>
      </c>
      <c r="S12" s="7">
        <f ca="1">[1]!b_calc_curve_chinabond("1102",S$1,$B12)</f>
        <v>0</v>
      </c>
      <c r="T12" s="7">
        <f ca="1">[1]!b_calc_curve_chinabond("1102",T$1,$B12)</f>
        <v>0</v>
      </c>
      <c r="U12" s="7">
        <f ca="1">[1]!b_calc_curve_chinabond("1102",U$1,$B12)</f>
        <v>1.44</v>
      </c>
      <c r="V12" s="7">
        <f ca="1">[1]!b_calc_curve_chinabond("1102",V$1,$B12)</f>
        <v>1.4550000000000001</v>
      </c>
      <c r="W12" s="7">
        <f ca="1">[1]!b_calc_curve_chinabond("1102",W$1,$B12)</f>
        <v>1.47</v>
      </c>
      <c r="X12" s="7">
        <f ca="1">[1]!b_calc_curve_chinabond("1102",X$1,$B12)</f>
        <v>1.4833000000000001</v>
      </c>
      <c r="Y12" s="7">
        <f ca="1">[1]!b_calc_curve_chinabond("1102",Y$1,$B12)</f>
        <v>1.49</v>
      </c>
      <c r="Z12" s="7">
        <f ca="1">[1]!b_calc_curve_chinabond("1102",Z$1,$B12)</f>
        <v>0</v>
      </c>
      <c r="AA12" s="7">
        <f ca="1">[1]!b_calc_curve_chinabond("1102",AA$1,$B12)</f>
        <v>0</v>
      </c>
      <c r="AB12" s="7">
        <f ca="1">[1]!b_calc_curve_chinabond("1102",AB$1,$B12)</f>
        <v>1.5077</v>
      </c>
      <c r="AC12" s="7">
        <f ca="1">[1]!b_calc_curve_chinabond("1102",AC$1,$B12)</f>
        <v>1.5106999999999999</v>
      </c>
      <c r="AD12" s="7">
        <f ca="1">[1]!b_calc_curve_chinabond("1102",AD$1,$B12)</f>
        <v>1.5</v>
      </c>
      <c r="AE12" s="7">
        <f ca="1">[1]!b_calc_curve_chinabond("1102",AE$1,$B12)</f>
        <v>1.4999</v>
      </c>
      <c r="AF12" s="7">
        <f ca="1">[1]!b_calc_curve_chinabond("1102",AF$1,$B12)</f>
        <v>0</v>
      </c>
      <c r="AG12" s="7">
        <f ca="1">[1]!b_calc_curve_chinabond("1102",AG$1,$B12)</f>
        <v>0</v>
      </c>
      <c r="AH12" s="7">
        <f ca="1">[1]!b_calc_curve_chinabond("1102",AH$1,$B12)</f>
        <v>0</v>
      </c>
      <c r="AI12" s="7">
        <f ca="1">[1]!b_calc_curve_chinabond("1102",AI$1,$B12)</f>
        <v>0</v>
      </c>
    </row>
    <row r="13" spans="1:35" ht="19.5" customHeight="1">
      <c r="A13" s="3" t="s">
        <v>13</v>
      </c>
      <c r="B13" s="4">
        <v>0.6</v>
      </c>
      <c r="C13" s="7">
        <f ca="1">[1]!b_calc_curve_chinabond("1102",C$1,$B13)</f>
        <v>1.4256</v>
      </c>
      <c r="D13" s="7">
        <f ca="1">[1]!b_calc_curve_chinabond("1102",D$1,$B13)</f>
        <v>1.4175</v>
      </c>
      <c r="E13" s="7">
        <f ca="1">[1]!b_calc_curve_chinabond("1102",E$1,$B13)</f>
        <v>0</v>
      </c>
      <c r="F13" s="7">
        <f ca="1">[1]!b_calc_curve_chinabond("1102",F$1,$B13)</f>
        <v>0</v>
      </c>
      <c r="G13" s="7">
        <f ca="1">[1]!b_calc_curve_chinabond("1102",G$1,$B13)</f>
        <v>1.4212</v>
      </c>
      <c r="H13" s="7">
        <f ca="1">[1]!b_calc_curve_chinabond("1102",H$1,$B13)</f>
        <v>1.4184000000000001</v>
      </c>
      <c r="I13" s="7">
        <f ca="1">[1]!b_calc_curve_chinabond("1102",I$1,$B13)</f>
        <v>1.4149</v>
      </c>
      <c r="J13" s="7">
        <f ca="1">[1]!b_calc_curve_chinabond("1102",J$1,$B13)</f>
        <v>1.4241999999999999</v>
      </c>
      <c r="K13" s="7">
        <f ca="1">[1]!b_calc_curve_chinabond("1102",K$1,$B13)</f>
        <v>1.421</v>
      </c>
      <c r="L13" s="7">
        <f ca="1">[1]!b_calc_curve_chinabond("1102",L$1,$B13)</f>
        <v>0</v>
      </c>
      <c r="M13" s="7">
        <f ca="1">[1]!b_calc_curve_chinabond("1102",M$1,$B13)</f>
        <v>0</v>
      </c>
      <c r="N13" s="7">
        <f ca="1">[1]!b_calc_curve_chinabond("1102",N$1,$B13)</f>
        <v>1.4219999999999999</v>
      </c>
      <c r="O13" s="7">
        <f ca="1">[1]!b_calc_curve_chinabond("1102",O$1,$B13)</f>
        <v>1.4121999999999999</v>
      </c>
      <c r="P13" s="7">
        <f ca="1">[1]!b_calc_curve_chinabond("1102",P$1,$B13)</f>
        <v>1.429</v>
      </c>
      <c r="Q13" s="7">
        <f ca="1">[1]!b_calc_curve_chinabond("1102",Q$1,$B13)</f>
        <v>1.4371</v>
      </c>
      <c r="R13" s="7">
        <f ca="1">[1]!b_calc_curve_chinabond("1102",R$1,$B13)</f>
        <v>1.4474</v>
      </c>
      <c r="S13" s="7">
        <f ca="1">[1]!b_calc_curve_chinabond("1102",S$1,$B13)</f>
        <v>0</v>
      </c>
      <c r="T13" s="7">
        <f ca="1">[1]!b_calc_curve_chinabond("1102",T$1,$B13)</f>
        <v>0</v>
      </c>
      <c r="U13" s="7">
        <f ca="1">[1]!b_calc_curve_chinabond("1102",U$1,$B13)</f>
        <v>1.44</v>
      </c>
      <c r="V13" s="7">
        <f ca="1">[1]!b_calc_curve_chinabond("1102",V$1,$B13)</f>
        <v>1.4579</v>
      </c>
      <c r="W13" s="7">
        <f ca="1">[1]!b_calc_curve_chinabond("1102",W$1,$B13)</f>
        <v>1.47</v>
      </c>
      <c r="X13" s="7">
        <f ca="1">[1]!b_calc_curve_chinabond("1102",X$1,$B13)</f>
        <v>1.4847999999999999</v>
      </c>
      <c r="Y13" s="7">
        <f ca="1">[1]!b_calc_curve_chinabond("1102",Y$1,$B13)</f>
        <v>1.4921</v>
      </c>
      <c r="Z13" s="7">
        <f ca="1">[1]!b_calc_curve_chinabond("1102",Z$1,$B13)</f>
        <v>0</v>
      </c>
      <c r="AA13" s="7">
        <f ca="1">[1]!b_calc_curve_chinabond("1102",AA$1,$B13)</f>
        <v>0</v>
      </c>
      <c r="AB13" s="7">
        <f ca="1">[1]!b_calc_curve_chinabond("1102",AB$1,$B13)</f>
        <v>1.5092000000000001</v>
      </c>
      <c r="AC13" s="7">
        <f ca="1">[1]!b_calc_curve_chinabond("1102",AC$1,$B13)</f>
        <v>1.5194000000000001</v>
      </c>
      <c r="AD13" s="7">
        <f ca="1">[1]!b_calc_curve_chinabond("1102",AD$1,$B13)</f>
        <v>1.5</v>
      </c>
      <c r="AE13" s="7">
        <f ca="1">[1]!b_calc_curve_chinabond("1102",AE$1,$B13)</f>
        <v>1.5</v>
      </c>
      <c r="AF13" s="7">
        <f ca="1">[1]!b_calc_curve_chinabond("1102",AF$1,$B13)</f>
        <v>0</v>
      </c>
      <c r="AG13" s="7">
        <f ca="1">[1]!b_calc_curve_chinabond("1102",AG$1,$B13)</f>
        <v>0</v>
      </c>
      <c r="AH13" s="7">
        <f ca="1">[1]!b_calc_curve_chinabond("1102",AH$1,$B13)</f>
        <v>0</v>
      </c>
      <c r="AI13" s="7">
        <f ca="1">[1]!b_calc_curve_chinabond("1102",AI$1,$B13)</f>
        <v>0</v>
      </c>
    </row>
    <row r="14" spans="1:35" ht="19.5" customHeight="1">
      <c r="A14" s="1" t="s">
        <v>14</v>
      </c>
      <c r="B14" s="2">
        <v>0.7</v>
      </c>
      <c r="C14" s="7">
        <f ca="1">[1]!b_calc_curve_chinabond("1102",C$1,$B14)</f>
        <v>1.44</v>
      </c>
      <c r="D14" s="7">
        <f ca="1">[1]!b_calc_curve_chinabond("1102",D$1,$B14)</f>
        <v>1.4325000000000001</v>
      </c>
      <c r="E14" s="7">
        <f ca="1">[1]!b_calc_curve_chinabond("1102",E$1,$B14)</f>
        <v>0</v>
      </c>
      <c r="F14" s="7">
        <f ca="1">[1]!b_calc_curve_chinabond("1102",F$1,$B14)</f>
        <v>0</v>
      </c>
      <c r="G14" s="7">
        <f ca="1">[1]!b_calc_curve_chinabond("1102",G$1,$B14)</f>
        <v>1.4307000000000001</v>
      </c>
      <c r="H14" s="7">
        <f ca="1">[1]!b_calc_curve_chinabond("1102",H$1,$B14)</f>
        <v>1.4237</v>
      </c>
      <c r="I14" s="7">
        <f ca="1">[1]!b_calc_curve_chinabond("1102",I$1,$B14)</f>
        <v>1.4226000000000001</v>
      </c>
      <c r="J14" s="7">
        <f ca="1">[1]!b_calc_curve_chinabond("1102",J$1,$B14)</f>
        <v>1.4341999999999999</v>
      </c>
      <c r="K14" s="7">
        <f ca="1">[1]!b_calc_curve_chinabond("1102",K$1,$B14)</f>
        <v>1.4325000000000001</v>
      </c>
      <c r="L14" s="7">
        <f ca="1">[1]!b_calc_curve_chinabond("1102",L$1,$B14)</f>
        <v>0</v>
      </c>
      <c r="M14" s="7">
        <f ca="1">[1]!b_calc_curve_chinabond("1102",M$1,$B14)</f>
        <v>0</v>
      </c>
      <c r="N14" s="7">
        <f ca="1">[1]!b_calc_curve_chinabond("1102",N$1,$B14)</f>
        <v>1.4337</v>
      </c>
      <c r="O14" s="7">
        <f ca="1">[1]!b_calc_curve_chinabond("1102",O$1,$B14)</f>
        <v>1.4237</v>
      </c>
      <c r="P14" s="7">
        <f ca="1">[1]!b_calc_curve_chinabond("1102",P$1,$B14)</f>
        <v>1.4370000000000001</v>
      </c>
      <c r="Q14" s="7">
        <f ca="1">[1]!b_calc_curve_chinabond("1102",Q$1,$B14)</f>
        <v>1.4420999999999999</v>
      </c>
      <c r="R14" s="7">
        <f ca="1">[1]!b_calc_curve_chinabond("1102",R$1,$B14)</f>
        <v>1.4489000000000001</v>
      </c>
      <c r="S14" s="7">
        <f ca="1">[1]!b_calc_curve_chinabond("1102",S$1,$B14)</f>
        <v>0</v>
      </c>
      <c r="T14" s="7">
        <f ca="1">[1]!b_calc_curve_chinabond("1102",T$1,$B14)</f>
        <v>0</v>
      </c>
      <c r="U14" s="7">
        <f ca="1">[1]!b_calc_curve_chinabond("1102",U$1,$B14)</f>
        <v>1.44</v>
      </c>
      <c r="V14" s="7">
        <f ca="1">[1]!b_calc_curve_chinabond("1102",V$1,$B14)</f>
        <v>1.4590000000000001</v>
      </c>
      <c r="W14" s="7">
        <f ca="1">[1]!b_calc_curve_chinabond("1102",W$1,$B14)</f>
        <v>1.47</v>
      </c>
      <c r="X14" s="7">
        <f ca="1">[1]!b_calc_curve_chinabond("1102",X$1,$B14)</f>
        <v>1.4877</v>
      </c>
      <c r="Y14" s="7">
        <f ca="1">[1]!b_calc_curve_chinabond("1102",Y$1,$B14)</f>
        <v>1.4964999999999999</v>
      </c>
      <c r="Z14" s="7">
        <f ca="1">[1]!b_calc_curve_chinabond("1102",Z$1,$B14)</f>
        <v>0</v>
      </c>
      <c r="AA14" s="7">
        <f ca="1">[1]!b_calc_curve_chinabond("1102",AA$1,$B14)</f>
        <v>0</v>
      </c>
      <c r="AB14" s="7">
        <f ca="1">[1]!b_calc_curve_chinabond("1102",AB$1,$B14)</f>
        <v>1.5097</v>
      </c>
      <c r="AC14" s="7">
        <f ca="1">[1]!b_calc_curve_chinabond("1102",AC$1,$B14)</f>
        <v>1.5298</v>
      </c>
      <c r="AD14" s="7">
        <f ca="1">[1]!b_calc_curve_chinabond("1102",AD$1,$B14)</f>
        <v>1.5</v>
      </c>
      <c r="AE14" s="7">
        <f ca="1">[1]!b_calc_curve_chinabond("1102",AE$1,$B14)</f>
        <v>1.5</v>
      </c>
      <c r="AF14" s="7">
        <f ca="1">[1]!b_calc_curve_chinabond("1102",AF$1,$B14)</f>
        <v>0</v>
      </c>
      <c r="AG14" s="7">
        <f ca="1">[1]!b_calc_curve_chinabond("1102",AG$1,$B14)</f>
        <v>0</v>
      </c>
      <c r="AH14" s="7">
        <f ca="1">[1]!b_calc_curve_chinabond("1102",AH$1,$B14)</f>
        <v>0</v>
      </c>
      <c r="AI14" s="7">
        <f ca="1">[1]!b_calc_curve_chinabond("1102",AI$1,$B14)</f>
        <v>0</v>
      </c>
    </row>
    <row r="15" spans="1:35" ht="19.5" customHeight="1">
      <c r="A15" s="3" t="s">
        <v>15</v>
      </c>
      <c r="B15" s="4">
        <v>0.75</v>
      </c>
      <c r="C15" s="7">
        <f ca="1">[1]!b_calc_curve_chinabond("1102",C$1,$B15)</f>
        <v>1.4464999999999999</v>
      </c>
      <c r="D15" s="7">
        <f ca="1">[1]!b_calc_curve_chinabond("1102",D$1,$B15)</f>
        <v>1.4418</v>
      </c>
      <c r="E15" s="7">
        <f ca="1">[1]!b_calc_curve_chinabond("1102",E$1,$B15)</f>
        <v>0</v>
      </c>
      <c r="F15" s="7">
        <f ca="1">[1]!b_calc_curve_chinabond("1102",F$1,$B15)</f>
        <v>0</v>
      </c>
      <c r="G15" s="7">
        <f ca="1">[1]!b_calc_curve_chinabond("1102",G$1,$B15)</f>
        <v>1.4352</v>
      </c>
      <c r="H15" s="7">
        <f ca="1">[1]!b_calc_curve_chinabond("1102",H$1,$B15)</f>
        <v>1.4265000000000001</v>
      </c>
      <c r="I15" s="7">
        <f ca="1">[1]!b_calc_curve_chinabond("1102",I$1,$B15)</f>
        <v>1.4259999999999999</v>
      </c>
      <c r="J15" s="7">
        <f ca="1">[1]!b_calc_curve_chinabond("1102",J$1,$B15)</f>
        <v>1.4388000000000001</v>
      </c>
      <c r="K15" s="7">
        <f ca="1">[1]!b_calc_curve_chinabond("1102",K$1,$B15)</f>
        <v>1.4388000000000001</v>
      </c>
      <c r="L15" s="7">
        <f ca="1">[1]!b_calc_curve_chinabond("1102",L$1,$B15)</f>
        <v>0</v>
      </c>
      <c r="M15" s="7">
        <f ca="1">[1]!b_calc_curve_chinabond("1102",M$1,$B15)</f>
        <v>0</v>
      </c>
      <c r="N15" s="7">
        <f ca="1">[1]!b_calc_curve_chinabond("1102",N$1,$B15)</f>
        <v>1.4389000000000001</v>
      </c>
      <c r="O15" s="7">
        <f ca="1">[1]!b_calc_curve_chinabond("1102",O$1,$B15)</f>
        <v>1.431</v>
      </c>
      <c r="P15" s="7">
        <f ca="1">[1]!b_calc_curve_chinabond("1102",P$1,$B15)</f>
        <v>1.4408000000000001</v>
      </c>
      <c r="Q15" s="7">
        <f ca="1">[1]!b_calc_curve_chinabond("1102",Q$1,$B15)</f>
        <v>1.4443999999999999</v>
      </c>
      <c r="R15" s="7">
        <f ca="1">[1]!b_calc_curve_chinabond("1102",R$1,$B15)</f>
        <v>1.4492</v>
      </c>
      <c r="S15" s="7">
        <f ca="1">[1]!b_calc_curve_chinabond("1102",S$1,$B15)</f>
        <v>0</v>
      </c>
      <c r="T15" s="7">
        <f ca="1">[1]!b_calc_curve_chinabond("1102",T$1,$B15)</f>
        <v>0</v>
      </c>
      <c r="U15" s="7">
        <f ca="1">[1]!b_calc_curve_chinabond("1102",U$1,$B15)</f>
        <v>1.44</v>
      </c>
      <c r="V15" s="7">
        <f ca="1">[1]!b_calc_curve_chinabond("1102",V$1,$B15)</f>
        <v>1.4593</v>
      </c>
      <c r="W15" s="7">
        <f ca="1">[1]!b_calc_curve_chinabond("1102",W$1,$B15)</f>
        <v>1.47</v>
      </c>
      <c r="X15" s="7">
        <f ca="1">[1]!b_calc_curve_chinabond("1102",X$1,$B15)</f>
        <v>1.4891000000000001</v>
      </c>
      <c r="Y15" s="7">
        <f ca="1">[1]!b_calc_curve_chinabond("1102",Y$1,$B15)</f>
        <v>1.4986999999999999</v>
      </c>
      <c r="Z15" s="7">
        <f ca="1">[1]!b_calc_curve_chinabond("1102",Z$1,$B15)</f>
        <v>0</v>
      </c>
      <c r="AA15" s="7">
        <f ca="1">[1]!b_calc_curve_chinabond("1102",AA$1,$B15)</f>
        <v>0</v>
      </c>
      <c r="AB15" s="7">
        <f ca="1">[1]!b_calc_curve_chinabond("1102",AB$1,$B15)</f>
        <v>1.5099</v>
      </c>
      <c r="AC15" s="7">
        <f ca="1">[1]!b_calc_curve_chinabond("1102",AC$1,$B15)</f>
        <v>1.5344</v>
      </c>
      <c r="AD15" s="7">
        <f ca="1">[1]!b_calc_curve_chinabond("1102",AD$1,$B15)</f>
        <v>1.5</v>
      </c>
      <c r="AE15" s="7">
        <f ca="1">[1]!b_calc_curve_chinabond("1102",AE$1,$B15)</f>
        <v>1.5</v>
      </c>
      <c r="AF15" s="7">
        <f ca="1">[1]!b_calc_curve_chinabond("1102",AF$1,$B15)</f>
        <v>0</v>
      </c>
      <c r="AG15" s="7">
        <f ca="1">[1]!b_calc_curve_chinabond("1102",AG$1,$B15)</f>
        <v>0</v>
      </c>
      <c r="AH15" s="7">
        <f ca="1">[1]!b_calc_curve_chinabond("1102",AH$1,$B15)</f>
        <v>0</v>
      </c>
      <c r="AI15" s="7">
        <f ca="1">[1]!b_calc_curve_chinabond("1102",AI$1,$B15)</f>
        <v>0</v>
      </c>
    </row>
    <row r="16" spans="1:35" ht="19.5" customHeight="1">
      <c r="A16" s="1" t="s">
        <v>16</v>
      </c>
      <c r="B16" s="2">
        <v>0.8</v>
      </c>
      <c r="C16" s="7">
        <f ca="1">[1]!b_calc_curve_chinabond("1102",C$1,$B16)</f>
        <v>1.4524999999999999</v>
      </c>
      <c r="D16" s="7">
        <f ca="1">[1]!b_calc_curve_chinabond("1102",D$1,$B16)</f>
        <v>1.45</v>
      </c>
      <c r="E16" s="7">
        <f ca="1">[1]!b_calc_curve_chinabond("1102",E$1,$B16)</f>
        <v>0</v>
      </c>
      <c r="F16" s="7">
        <f ca="1">[1]!b_calc_curve_chinabond("1102",F$1,$B16)</f>
        <v>0</v>
      </c>
      <c r="G16" s="7">
        <f ca="1">[1]!b_calc_curve_chinabond("1102",G$1,$B16)</f>
        <v>1.4410000000000001</v>
      </c>
      <c r="H16" s="7">
        <f ca="1">[1]!b_calc_curve_chinabond("1102",H$1,$B16)</f>
        <v>1.4292</v>
      </c>
      <c r="I16" s="7">
        <f ca="1">[1]!b_calc_curve_chinabond("1102",I$1,$B16)</f>
        <v>1.4308000000000001</v>
      </c>
      <c r="J16" s="7">
        <f ca="1">[1]!b_calc_curve_chinabond("1102",J$1,$B16)</f>
        <v>1.4433</v>
      </c>
      <c r="K16" s="7">
        <f ca="1">[1]!b_calc_curve_chinabond("1102",K$1,$B16)</f>
        <v>1.4434</v>
      </c>
      <c r="L16" s="7">
        <f ca="1">[1]!b_calc_curve_chinabond("1102",L$1,$B16)</f>
        <v>0</v>
      </c>
      <c r="M16" s="7">
        <f ca="1">[1]!b_calc_curve_chinabond("1102",M$1,$B16)</f>
        <v>0</v>
      </c>
      <c r="N16" s="7">
        <f ca="1">[1]!b_calc_curve_chinabond("1102",N$1,$B16)</f>
        <v>1.4435</v>
      </c>
      <c r="O16" s="7">
        <f ca="1">[1]!b_calc_curve_chinabond("1102",O$1,$B16)</f>
        <v>1.4378</v>
      </c>
      <c r="P16" s="7">
        <f ca="1">[1]!b_calc_curve_chinabond("1102",P$1,$B16)</f>
        <v>1.4444999999999999</v>
      </c>
      <c r="Q16" s="7">
        <f ca="1">[1]!b_calc_curve_chinabond("1102",Q$1,$B16)</f>
        <v>1.4467000000000001</v>
      </c>
      <c r="R16" s="7">
        <f ca="1">[1]!b_calc_curve_chinabond("1102",R$1,$B16)</f>
        <v>1.4496</v>
      </c>
      <c r="S16" s="7">
        <f ca="1">[1]!b_calc_curve_chinabond("1102",S$1,$B16)</f>
        <v>0</v>
      </c>
      <c r="T16" s="7">
        <f ca="1">[1]!b_calc_curve_chinabond("1102",T$1,$B16)</f>
        <v>0</v>
      </c>
      <c r="U16" s="7">
        <f ca="1">[1]!b_calc_curve_chinabond("1102",U$1,$B16)</f>
        <v>1.4423999999999999</v>
      </c>
      <c r="V16" s="7">
        <f ca="1">[1]!b_calc_curve_chinabond("1102",V$1,$B16)</f>
        <v>1.4596</v>
      </c>
      <c r="W16" s="7">
        <f ca="1">[1]!b_calc_curve_chinabond("1102",W$1,$B16)</f>
        <v>1.4702</v>
      </c>
      <c r="X16" s="7">
        <f ca="1">[1]!b_calc_curve_chinabond("1102",X$1,$B16)</f>
        <v>1.4905999999999999</v>
      </c>
      <c r="Y16" s="7">
        <f ca="1">[1]!b_calc_curve_chinabond("1102",Y$1,$B16)</f>
        <v>1.5008999999999999</v>
      </c>
      <c r="Z16" s="7">
        <f ca="1">[1]!b_calc_curve_chinabond("1102",Z$1,$B16)</f>
        <v>0</v>
      </c>
      <c r="AA16" s="7">
        <f ca="1">[1]!b_calc_curve_chinabond("1102",AA$1,$B16)</f>
        <v>0</v>
      </c>
      <c r="AB16" s="7">
        <f ca="1">[1]!b_calc_curve_chinabond("1102",AB$1,$B16)</f>
        <v>1.5099</v>
      </c>
      <c r="AC16" s="7">
        <f ca="1">[1]!b_calc_curve_chinabond("1102",AC$1,$B16)</f>
        <v>1.5379</v>
      </c>
      <c r="AD16" s="7">
        <f ca="1">[1]!b_calc_curve_chinabond("1102",AD$1,$B16)</f>
        <v>1.5002</v>
      </c>
      <c r="AE16" s="7">
        <f ca="1">[1]!b_calc_curve_chinabond("1102",AE$1,$B16)</f>
        <v>1.5011000000000001</v>
      </c>
      <c r="AF16" s="7">
        <f ca="1">[1]!b_calc_curve_chinabond("1102",AF$1,$B16)</f>
        <v>0</v>
      </c>
      <c r="AG16" s="7">
        <f ca="1">[1]!b_calc_curve_chinabond("1102",AG$1,$B16)</f>
        <v>0</v>
      </c>
      <c r="AH16" s="7">
        <f ca="1">[1]!b_calc_curve_chinabond("1102",AH$1,$B16)</f>
        <v>0</v>
      </c>
      <c r="AI16" s="7">
        <f ca="1">[1]!b_calc_curve_chinabond("1102",AI$1,$B16)</f>
        <v>0</v>
      </c>
    </row>
    <row r="17" spans="1:35" ht="19.5" customHeight="1">
      <c r="A17" s="3" t="s">
        <v>17</v>
      </c>
      <c r="B17" s="4">
        <v>0.9</v>
      </c>
      <c r="C17" s="7">
        <f ca="1">[1]!b_calc_curve_chinabond("1102",C$1,$B17)</f>
        <v>1.4654</v>
      </c>
      <c r="D17" s="7">
        <f ca="1">[1]!b_calc_curve_chinabond("1102",D$1,$B17)</f>
        <v>1.466</v>
      </c>
      <c r="E17" s="7">
        <f ca="1">[1]!b_calc_curve_chinabond("1102",E$1,$B17)</f>
        <v>0</v>
      </c>
      <c r="F17" s="7">
        <f ca="1">[1]!b_calc_curve_chinabond("1102",F$1,$B17)</f>
        <v>0</v>
      </c>
      <c r="G17" s="7">
        <f ca="1">[1]!b_calc_curve_chinabond("1102",G$1,$B17)</f>
        <v>1.4591000000000001</v>
      </c>
      <c r="H17" s="7">
        <f ca="1">[1]!b_calc_curve_chinabond("1102",H$1,$B17)</f>
        <v>1.4468000000000001</v>
      </c>
      <c r="I17" s="7">
        <f ca="1">[1]!b_calc_curve_chinabond("1102",I$1,$B17)</f>
        <v>1.448</v>
      </c>
      <c r="J17" s="7">
        <f ca="1">[1]!b_calc_curve_chinabond("1102",J$1,$B17)</f>
        <v>1.4522999999999999</v>
      </c>
      <c r="K17" s="7">
        <f ca="1">[1]!b_calc_curve_chinabond("1102",K$1,$B17)</f>
        <v>1.4500999999999999</v>
      </c>
      <c r="L17" s="7">
        <f ca="1">[1]!b_calc_curve_chinabond("1102",L$1,$B17)</f>
        <v>0</v>
      </c>
      <c r="M17" s="7">
        <f ca="1">[1]!b_calc_curve_chinabond("1102",M$1,$B17)</f>
        <v>0</v>
      </c>
      <c r="N17" s="7">
        <f ca="1">[1]!b_calc_curve_chinabond("1102",N$1,$B17)</f>
        <v>1.4523999999999999</v>
      </c>
      <c r="O17" s="7">
        <f ca="1">[1]!b_calc_curve_chinabond("1102",O$1,$B17)</f>
        <v>1.4486000000000001</v>
      </c>
      <c r="P17" s="7">
        <f ca="1">[1]!b_calc_curve_chinabond("1102",P$1,$B17)</f>
        <v>1.4519</v>
      </c>
      <c r="Q17" s="7">
        <f ca="1">[1]!b_calc_curve_chinabond("1102",Q$1,$B17)</f>
        <v>1.4523999999999999</v>
      </c>
      <c r="R17" s="7">
        <f ca="1">[1]!b_calc_curve_chinabond("1102",R$1,$B17)</f>
        <v>1.4517</v>
      </c>
      <c r="S17" s="7">
        <f ca="1">[1]!b_calc_curve_chinabond("1102",S$1,$B17)</f>
        <v>0</v>
      </c>
      <c r="T17" s="7">
        <f ca="1">[1]!b_calc_curve_chinabond("1102",T$1,$B17)</f>
        <v>0</v>
      </c>
      <c r="U17" s="7">
        <f ca="1">[1]!b_calc_curve_chinabond("1102",U$1,$B17)</f>
        <v>1.4561999999999999</v>
      </c>
      <c r="V17" s="7">
        <f ca="1">[1]!b_calc_curve_chinabond("1102",V$1,$B17)</f>
        <v>1.4651000000000001</v>
      </c>
      <c r="W17" s="7">
        <f ca="1">[1]!b_calc_curve_chinabond("1102",W$1,$B17)</f>
        <v>1.4817</v>
      </c>
      <c r="X17" s="7">
        <f ca="1">[1]!b_calc_curve_chinabond("1102",X$1,$B17)</f>
        <v>1.5052000000000001</v>
      </c>
      <c r="Y17" s="7">
        <f ca="1">[1]!b_calc_curve_chinabond("1102",Y$1,$B17)</f>
        <v>1.5159</v>
      </c>
      <c r="Z17" s="7">
        <f ca="1">[1]!b_calc_curve_chinabond("1102",Z$1,$B17)</f>
        <v>0</v>
      </c>
      <c r="AA17" s="7">
        <f ca="1">[1]!b_calc_curve_chinabond("1102",AA$1,$B17)</f>
        <v>0</v>
      </c>
      <c r="AB17" s="7">
        <f ca="1">[1]!b_calc_curve_chinabond("1102",AB$1,$B17)</f>
        <v>1.5182</v>
      </c>
      <c r="AC17" s="7">
        <f ca="1">[1]!b_calc_curve_chinabond("1102",AC$1,$B17)</f>
        <v>1.5394000000000001</v>
      </c>
      <c r="AD17" s="7">
        <f ca="1">[1]!b_calc_curve_chinabond("1102",AD$1,$B17)</f>
        <v>1.512</v>
      </c>
      <c r="AE17" s="7">
        <f ca="1">[1]!b_calc_curve_chinabond("1102",AE$1,$B17)</f>
        <v>1.5078</v>
      </c>
      <c r="AF17" s="7">
        <f ca="1">[1]!b_calc_curve_chinabond("1102",AF$1,$B17)</f>
        <v>0</v>
      </c>
      <c r="AG17" s="7">
        <f ca="1">[1]!b_calc_curve_chinabond("1102",AG$1,$B17)</f>
        <v>0</v>
      </c>
      <c r="AH17" s="7">
        <f ca="1">[1]!b_calc_curve_chinabond("1102",AH$1,$B17)</f>
        <v>0</v>
      </c>
      <c r="AI17" s="7">
        <f ca="1">[1]!b_calc_curve_chinabond("1102",AI$1,$B17)</f>
        <v>0</v>
      </c>
    </row>
    <row r="18" spans="1:35" ht="19.5" customHeight="1">
      <c r="A18" s="1" t="s">
        <v>18</v>
      </c>
      <c r="B18" s="2">
        <v>1</v>
      </c>
      <c r="C18" s="7">
        <f ca="1">[1]!b_calc_curve_chinabond("1102",C$1,$B18)</f>
        <v>1.4783999999999999</v>
      </c>
      <c r="D18" s="7">
        <f ca="1">[1]!b_calc_curve_chinabond("1102",D$1,$B18)</f>
        <v>1.4832000000000001</v>
      </c>
      <c r="E18" s="7">
        <f ca="1">[1]!b_calc_curve_chinabond("1102",E$1,$B18)</f>
        <v>0</v>
      </c>
      <c r="F18" s="7">
        <f ca="1">[1]!b_calc_curve_chinabond("1102",F$1,$B18)</f>
        <v>0</v>
      </c>
      <c r="G18" s="7">
        <f ca="1">[1]!b_calc_curve_chinabond("1102",G$1,$B18)</f>
        <v>1.4786999999999999</v>
      </c>
      <c r="H18" s="7">
        <f ca="1">[1]!b_calc_curve_chinabond("1102",H$1,$B18)</f>
        <v>1.4786999999999999</v>
      </c>
      <c r="I18" s="7">
        <f ca="1">[1]!b_calc_curve_chinabond("1102",I$1,$B18)</f>
        <v>1.4668000000000001</v>
      </c>
      <c r="J18" s="7">
        <f ca="1">[1]!b_calc_curve_chinabond("1102",J$1,$B18)</f>
        <v>1.4612000000000001</v>
      </c>
      <c r="K18" s="7">
        <f ca="1">[1]!b_calc_curve_chinabond("1102",K$1,$B18)</f>
        <v>1.4562999999999999</v>
      </c>
      <c r="L18" s="7">
        <f ca="1">[1]!b_calc_curve_chinabond("1102",L$1,$B18)</f>
        <v>0</v>
      </c>
      <c r="M18" s="7">
        <f ca="1">[1]!b_calc_curve_chinabond("1102",M$1,$B18)</f>
        <v>0</v>
      </c>
      <c r="N18" s="7">
        <f ca="1">[1]!b_calc_curve_chinabond("1102",N$1,$B18)</f>
        <v>1.4614</v>
      </c>
      <c r="O18" s="7">
        <f ca="1">[1]!b_calc_curve_chinabond("1102",O$1,$B18)</f>
        <v>1.4588000000000001</v>
      </c>
      <c r="P18" s="7">
        <f ca="1">[1]!b_calc_curve_chinabond("1102",P$1,$B18)</f>
        <v>1.4594</v>
      </c>
      <c r="Q18" s="7">
        <f ca="1">[1]!b_calc_curve_chinabond("1102",Q$1,$B18)</f>
        <v>1.4621</v>
      </c>
      <c r="R18" s="7">
        <f ca="1">[1]!b_calc_curve_chinabond("1102",R$1,$B18)</f>
        <v>1.4563999999999999</v>
      </c>
      <c r="S18" s="7">
        <f ca="1">[1]!b_calc_curve_chinabond("1102",S$1,$B18)</f>
        <v>0</v>
      </c>
      <c r="T18" s="7">
        <f ca="1">[1]!b_calc_curve_chinabond("1102",T$1,$B18)</f>
        <v>0</v>
      </c>
      <c r="U18" s="7">
        <f ca="1">[1]!b_calc_curve_chinabond("1102",U$1,$B18)</f>
        <v>1.4718</v>
      </c>
      <c r="V18" s="7">
        <f ca="1">[1]!b_calc_curve_chinabond("1102",V$1,$B18)</f>
        <v>1.4857</v>
      </c>
      <c r="W18" s="7">
        <f ca="1">[1]!b_calc_curve_chinabond("1102",W$1,$B18)</f>
        <v>1.4987999999999999</v>
      </c>
      <c r="X18" s="7">
        <f ca="1">[1]!b_calc_curve_chinabond("1102",X$1,$B18)</f>
        <v>1.5253000000000001</v>
      </c>
      <c r="Y18" s="7">
        <f ca="1">[1]!b_calc_curve_chinabond("1102",Y$1,$B18)</f>
        <v>1.5354000000000001</v>
      </c>
      <c r="Z18" s="7">
        <f ca="1">[1]!b_calc_curve_chinabond("1102",Z$1,$B18)</f>
        <v>0</v>
      </c>
      <c r="AA18" s="7">
        <f ca="1">[1]!b_calc_curve_chinabond("1102",AA$1,$B18)</f>
        <v>0</v>
      </c>
      <c r="AB18" s="7">
        <f ca="1">[1]!b_calc_curve_chinabond("1102",AB$1,$B18)</f>
        <v>1.5416000000000001</v>
      </c>
      <c r="AC18" s="7">
        <f ca="1">[1]!b_calc_curve_chinabond("1102",AC$1,$B18)</f>
        <v>1.5356000000000001</v>
      </c>
      <c r="AD18" s="7">
        <f ca="1">[1]!b_calc_curve_chinabond("1102",AD$1,$B18)</f>
        <v>1.5288999999999999</v>
      </c>
      <c r="AE18" s="7">
        <f ca="1">[1]!b_calc_curve_chinabond("1102",AE$1,$B18)</f>
        <v>1.5154000000000001</v>
      </c>
      <c r="AF18" s="7">
        <f ca="1">[1]!b_calc_curve_chinabond("1102",AF$1,$B18)</f>
        <v>0</v>
      </c>
      <c r="AG18" s="7">
        <f ca="1">[1]!b_calc_curve_chinabond("1102",AG$1,$B18)</f>
        <v>0</v>
      </c>
      <c r="AH18" s="7">
        <f ca="1">[1]!b_calc_curve_chinabond("1102",AH$1,$B18)</f>
        <v>0</v>
      </c>
      <c r="AI18" s="7">
        <f ca="1">[1]!b_calc_curve_chinabond("1102",AI$1,$B18)</f>
        <v>0</v>
      </c>
    </row>
    <row r="19" spans="1:35" ht="19.5" customHeight="1">
      <c r="A19" s="3" t="s">
        <v>19</v>
      </c>
      <c r="B19" s="4">
        <v>1.1000000000000001</v>
      </c>
      <c r="C19" s="7">
        <f ca="1">[1]!b_calc_curve_chinabond("1102",C$1,$B19)</f>
        <v>1.4912000000000001</v>
      </c>
      <c r="D19" s="7">
        <f ca="1">[1]!b_calc_curve_chinabond("1102",D$1,$B19)</f>
        <v>1.4991000000000001</v>
      </c>
      <c r="E19" s="7">
        <f ca="1">[1]!b_calc_curve_chinabond("1102",E$1,$B19)</f>
        <v>0</v>
      </c>
      <c r="F19" s="7">
        <f ca="1">[1]!b_calc_curve_chinabond("1102",F$1,$B19)</f>
        <v>0</v>
      </c>
      <c r="G19" s="7">
        <f ca="1">[1]!b_calc_curve_chinabond("1102",G$1,$B19)</f>
        <v>1.4951000000000001</v>
      </c>
      <c r="H19" s="7">
        <f ca="1">[1]!b_calc_curve_chinabond("1102",H$1,$B19)</f>
        <v>1.5024</v>
      </c>
      <c r="I19" s="7">
        <f ca="1">[1]!b_calc_curve_chinabond("1102",I$1,$B19)</f>
        <v>1.4822</v>
      </c>
      <c r="J19" s="7">
        <f ca="1">[1]!b_calc_curve_chinabond("1102",J$1,$B19)</f>
        <v>1.4706999999999999</v>
      </c>
      <c r="K19" s="7">
        <f ca="1">[1]!b_calc_curve_chinabond("1102",K$1,$B19)</f>
        <v>1.4641</v>
      </c>
      <c r="L19" s="7">
        <f ca="1">[1]!b_calc_curve_chinabond("1102",L$1,$B19)</f>
        <v>0</v>
      </c>
      <c r="M19" s="7">
        <f ca="1">[1]!b_calc_curve_chinabond("1102",M$1,$B19)</f>
        <v>0</v>
      </c>
      <c r="N19" s="7">
        <f ca="1">[1]!b_calc_curve_chinabond("1102",N$1,$B19)</f>
        <v>1.4702999999999999</v>
      </c>
      <c r="O19" s="7">
        <f ca="1">[1]!b_calc_curve_chinabond("1102",O$1,$B19)</f>
        <v>1.4685999999999999</v>
      </c>
      <c r="P19" s="7">
        <f ca="1">[1]!b_calc_curve_chinabond("1102",P$1,$B19)</f>
        <v>1.4673</v>
      </c>
      <c r="Q19" s="7">
        <f ca="1">[1]!b_calc_curve_chinabond("1102",Q$1,$B19)</f>
        <v>1.4712000000000001</v>
      </c>
      <c r="R19" s="7">
        <f ca="1">[1]!b_calc_curve_chinabond("1102",R$1,$B19)</f>
        <v>1.4617</v>
      </c>
      <c r="S19" s="7">
        <f ca="1">[1]!b_calc_curve_chinabond("1102",S$1,$B19)</f>
        <v>0</v>
      </c>
      <c r="T19" s="7">
        <f ca="1">[1]!b_calc_curve_chinabond("1102",T$1,$B19)</f>
        <v>0</v>
      </c>
      <c r="U19" s="7">
        <f ca="1">[1]!b_calc_curve_chinabond("1102",U$1,$B19)</f>
        <v>1.4838</v>
      </c>
      <c r="V19" s="7">
        <f ca="1">[1]!b_calc_curve_chinabond("1102",V$1,$B19)</f>
        <v>1.5015000000000001</v>
      </c>
      <c r="W19" s="7">
        <f ca="1">[1]!b_calc_curve_chinabond("1102",W$1,$B19)</f>
        <v>1.512</v>
      </c>
      <c r="X19" s="7">
        <f ca="1">[1]!b_calc_curve_chinabond("1102",X$1,$B19)</f>
        <v>1.5407999999999999</v>
      </c>
      <c r="Y19" s="7">
        <f ca="1">[1]!b_calc_curve_chinabond("1102",Y$1,$B19)</f>
        <v>1.5505</v>
      </c>
      <c r="Z19" s="7">
        <f ca="1">[1]!b_calc_curve_chinabond("1102",Z$1,$B19)</f>
        <v>0</v>
      </c>
      <c r="AA19" s="7">
        <f ca="1">[1]!b_calc_curve_chinabond("1102",AA$1,$B19)</f>
        <v>0</v>
      </c>
      <c r="AB19" s="7">
        <f ca="1">[1]!b_calc_curve_chinabond("1102",AB$1,$B19)</f>
        <v>1.5586</v>
      </c>
      <c r="AC19" s="7">
        <f ca="1">[1]!b_calc_curve_chinabond("1102",AC$1,$B19)</f>
        <v>1.5371999999999999</v>
      </c>
      <c r="AD19" s="7">
        <f ca="1">[1]!b_calc_curve_chinabond("1102",AD$1,$B19)</f>
        <v>1.5411999999999999</v>
      </c>
      <c r="AE19" s="7">
        <f ca="1">[1]!b_calc_curve_chinabond("1102",AE$1,$B19)</f>
        <v>1.5219</v>
      </c>
      <c r="AF19" s="7">
        <f ca="1">[1]!b_calc_curve_chinabond("1102",AF$1,$B19)</f>
        <v>0</v>
      </c>
      <c r="AG19" s="7">
        <f ca="1">[1]!b_calc_curve_chinabond("1102",AG$1,$B19)</f>
        <v>0</v>
      </c>
      <c r="AH19" s="7">
        <f ca="1">[1]!b_calc_curve_chinabond("1102",AH$1,$B19)</f>
        <v>0</v>
      </c>
      <c r="AI19" s="7">
        <f ca="1">[1]!b_calc_curve_chinabond("1102",AI$1,$B19)</f>
        <v>0</v>
      </c>
    </row>
    <row r="20" spans="1:35" ht="19.5" customHeight="1">
      <c r="A20" s="1" t="s">
        <v>20</v>
      </c>
      <c r="B20" s="2">
        <v>1.2</v>
      </c>
      <c r="C20" s="7">
        <f ca="1">[1]!b_calc_curve_chinabond("1102",C$1,$B20)</f>
        <v>1.5042</v>
      </c>
      <c r="D20" s="7">
        <f ca="1">[1]!b_calc_curve_chinabond("1102",D$1,$B20)</f>
        <v>1.5136000000000001</v>
      </c>
      <c r="E20" s="7">
        <f ca="1">[1]!b_calc_curve_chinabond("1102",E$1,$B20)</f>
        <v>0</v>
      </c>
      <c r="F20" s="7">
        <f ca="1">[1]!b_calc_curve_chinabond("1102",F$1,$B20)</f>
        <v>0</v>
      </c>
      <c r="G20" s="7">
        <f ca="1">[1]!b_calc_curve_chinabond("1102",G$1,$B20)</f>
        <v>1.5099</v>
      </c>
      <c r="H20" s="7">
        <f ca="1">[1]!b_calc_curve_chinabond("1102",H$1,$B20)</f>
        <v>1.5209999999999999</v>
      </c>
      <c r="I20" s="7">
        <f ca="1">[1]!b_calc_curve_chinabond("1102",I$1,$B20)</f>
        <v>1.4961</v>
      </c>
      <c r="J20" s="7">
        <f ca="1">[1]!b_calc_curve_chinabond("1102",J$1,$B20)</f>
        <v>1.4810000000000001</v>
      </c>
      <c r="K20" s="7">
        <f ca="1">[1]!b_calc_curve_chinabond("1102",K$1,$B20)</f>
        <v>1.4735</v>
      </c>
      <c r="L20" s="7">
        <f ca="1">[1]!b_calc_curve_chinabond("1102",L$1,$B20)</f>
        <v>0</v>
      </c>
      <c r="M20" s="7">
        <f ca="1">[1]!b_calc_curve_chinabond("1102",M$1,$B20)</f>
        <v>0</v>
      </c>
      <c r="N20" s="7">
        <f ca="1">[1]!b_calc_curve_chinabond("1102",N$1,$B20)</f>
        <v>1.4794</v>
      </c>
      <c r="O20" s="7">
        <f ca="1">[1]!b_calc_curve_chinabond("1102",O$1,$B20)</f>
        <v>1.4782</v>
      </c>
      <c r="P20" s="7">
        <f ca="1">[1]!b_calc_curve_chinabond("1102",P$1,$B20)</f>
        <v>1.4761</v>
      </c>
      <c r="Q20" s="7">
        <f ca="1">[1]!b_calc_curve_chinabond("1102",Q$1,$B20)</f>
        <v>1.4806999999999999</v>
      </c>
      <c r="R20" s="7">
        <f ca="1">[1]!b_calc_curve_chinabond("1102",R$1,$B20)</f>
        <v>1.4692000000000001</v>
      </c>
      <c r="S20" s="7">
        <f ca="1">[1]!b_calc_curve_chinabond("1102",S$1,$B20)</f>
        <v>0</v>
      </c>
      <c r="T20" s="7">
        <f ca="1">[1]!b_calc_curve_chinabond("1102",T$1,$B20)</f>
        <v>0</v>
      </c>
      <c r="U20" s="7">
        <f ca="1">[1]!b_calc_curve_chinabond("1102",U$1,$B20)</f>
        <v>1.4947999999999999</v>
      </c>
      <c r="V20" s="7">
        <f ca="1">[1]!b_calc_curve_chinabond("1102",V$1,$B20)</f>
        <v>1.5148999999999999</v>
      </c>
      <c r="W20" s="7">
        <f ca="1">[1]!b_calc_curve_chinabond("1102",W$1,$B20)</f>
        <v>1.5244</v>
      </c>
      <c r="X20" s="7">
        <f ca="1">[1]!b_calc_curve_chinabond("1102",X$1,$B20)</f>
        <v>1.5545</v>
      </c>
      <c r="Y20" s="7">
        <f ca="1">[1]!b_calc_curve_chinabond("1102",Y$1,$B20)</f>
        <v>1.5633999999999999</v>
      </c>
      <c r="Z20" s="7">
        <f ca="1">[1]!b_calc_curve_chinabond("1102",Z$1,$B20)</f>
        <v>0</v>
      </c>
      <c r="AA20" s="7">
        <f ca="1">[1]!b_calc_curve_chinabond("1102",AA$1,$B20)</f>
        <v>0</v>
      </c>
      <c r="AB20" s="7">
        <f ca="1">[1]!b_calc_curve_chinabond("1102",AB$1,$B20)</f>
        <v>1.5723</v>
      </c>
      <c r="AC20" s="7">
        <f ca="1">[1]!b_calc_curve_chinabond("1102",AC$1,$B20)</f>
        <v>1.5418000000000001</v>
      </c>
      <c r="AD20" s="7">
        <f ca="1">[1]!b_calc_curve_chinabond("1102",AD$1,$B20)</f>
        <v>1.5515000000000001</v>
      </c>
      <c r="AE20" s="7">
        <f ca="1">[1]!b_calc_curve_chinabond("1102",AE$1,$B20)</f>
        <v>1.5289999999999999</v>
      </c>
      <c r="AF20" s="7">
        <f ca="1">[1]!b_calc_curve_chinabond("1102",AF$1,$B20)</f>
        <v>0</v>
      </c>
      <c r="AG20" s="7">
        <f ca="1">[1]!b_calc_curve_chinabond("1102",AG$1,$B20)</f>
        <v>0</v>
      </c>
      <c r="AH20" s="7">
        <f ca="1">[1]!b_calc_curve_chinabond("1102",AH$1,$B20)</f>
        <v>0</v>
      </c>
      <c r="AI20" s="7">
        <f ca="1">[1]!b_calc_curve_chinabond("1102",AI$1,$B20)</f>
        <v>0</v>
      </c>
    </row>
    <row r="21" spans="1:35" ht="19.5" customHeight="1">
      <c r="A21" s="3" t="s">
        <v>21</v>
      </c>
      <c r="B21" s="4">
        <v>1.3</v>
      </c>
      <c r="C21" s="7">
        <f ca="1">[1]!b_calc_curve_chinabond("1102",C$1,$B21)</f>
        <v>1.5174000000000001</v>
      </c>
      <c r="D21" s="7">
        <f ca="1">[1]!b_calc_curve_chinabond("1102",D$1,$B21)</f>
        <v>1.5270999999999999</v>
      </c>
      <c r="E21" s="7">
        <f ca="1">[1]!b_calc_curve_chinabond("1102",E$1,$B21)</f>
        <v>0</v>
      </c>
      <c r="F21" s="7">
        <f ca="1">[1]!b_calc_curve_chinabond("1102",F$1,$B21)</f>
        <v>0</v>
      </c>
      <c r="G21" s="7">
        <f ca="1">[1]!b_calc_curve_chinabond("1102",G$1,$B21)</f>
        <v>1.5233000000000001</v>
      </c>
      <c r="H21" s="7">
        <f ca="1">[1]!b_calc_curve_chinabond("1102",H$1,$B21)</f>
        <v>1.5355000000000001</v>
      </c>
      <c r="I21" s="7">
        <f ca="1">[1]!b_calc_curve_chinabond("1102",I$1,$B21)</f>
        <v>1.5085999999999999</v>
      </c>
      <c r="J21" s="7">
        <f ca="1">[1]!b_calc_curve_chinabond("1102",J$1,$B21)</f>
        <v>1.4919</v>
      </c>
      <c r="K21" s="7">
        <f ca="1">[1]!b_calc_curve_chinabond("1102",K$1,$B21)</f>
        <v>1.4843</v>
      </c>
      <c r="L21" s="7">
        <f ca="1">[1]!b_calc_curve_chinabond("1102",L$1,$B21)</f>
        <v>0</v>
      </c>
      <c r="M21" s="7">
        <f ca="1">[1]!b_calc_curve_chinabond("1102",M$1,$B21)</f>
        <v>0</v>
      </c>
      <c r="N21" s="7">
        <f ca="1">[1]!b_calc_curve_chinabond("1102",N$1,$B21)</f>
        <v>1.4890000000000001</v>
      </c>
      <c r="O21" s="7">
        <f ca="1">[1]!b_calc_curve_chinabond("1102",O$1,$B21)</f>
        <v>1.4878</v>
      </c>
      <c r="P21" s="7">
        <f ca="1">[1]!b_calc_curve_chinabond("1102",P$1,$B21)</f>
        <v>1.4857</v>
      </c>
      <c r="Q21" s="7">
        <f ca="1">[1]!b_calc_curve_chinabond("1102",Q$1,$B21)</f>
        <v>1.4903</v>
      </c>
      <c r="R21" s="7">
        <f ca="1">[1]!b_calc_curve_chinabond("1102",R$1,$B21)</f>
        <v>1.4784999999999999</v>
      </c>
      <c r="S21" s="7">
        <f ca="1">[1]!b_calc_curve_chinabond("1102",S$1,$B21)</f>
        <v>0</v>
      </c>
      <c r="T21" s="7">
        <f ca="1">[1]!b_calc_curve_chinabond("1102",T$1,$B21)</f>
        <v>0</v>
      </c>
      <c r="U21" s="7">
        <f ca="1">[1]!b_calc_curve_chinabond("1102",U$1,$B21)</f>
        <v>1.5049999999999999</v>
      </c>
      <c r="V21" s="7">
        <f ca="1">[1]!b_calc_curve_chinabond("1102",V$1,$B21)</f>
        <v>1.5264</v>
      </c>
      <c r="W21" s="7">
        <f ca="1">[1]!b_calc_curve_chinabond("1102",W$1,$B21)</f>
        <v>1.5361</v>
      </c>
      <c r="X21" s="7">
        <f ca="1">[1]!b_calc_curve_chinabond("1102",X$1,$B21)</f>
        <v>1.5666</v>
      </c>
      <c r="Y21" s="7">
        <f ca="1">[1]!b_calc_curve_chinabond("1102",Y$1,$B21)</f>
        <v>1.5743</v>
      </c>
      <c r="Z21" s="7">
        <f ca="1">[1]!b_calc_curve_chinabond("1102",Z$1,$B21)</f>
        <v>0</v>
      </c>
      <c r="AA21" s="7">
        <f ca="1">[1]!b_calc_curve_chinabond("1102",AA$1,$B21)</f>
        <v>0</v>
      </c>
      <c r="AB21" s="7">
        <f ca="1">[1]!b_calc_curve_chinabond("1102",AB$1,$B21)</f>
        <v>1.5831999999999999</v>
      </c>
      <c r="AC21" s="7">
        <f ca="1">[1]!b_calc_curve_chinabond("1102",AC$1,$B21)</f>
        <v>1.5487</v>
      </c>
      <c r="AD21" s="7">
        <f ca="1">[1]!b_calc_curve_chinabond("1102",AD$1,$B21)</f>
        <v>1.5599000000000001</v>
      </c>
      <c r="AE21" s="7">
        <f ca="1">[1]!b_calc_curve_chinabond("1102",AE$1,$B21)</f>
        <v>1.5367</v>
      </c>
      <c r="AF21" s="7">
        <f ca="1">[1]!b_calc_curve_chinabond("1102",AF$1,$B21)</f>
        <v>0</v>
      </c>
      <c r="AG21" s="7">
        <f ca="1">[1]!b_calc_curve_chinabond("1102",AG$1,$B21)</f>
        <v>0</v>
      </c>
      <c r="AH21" s="7">
        <f ca="1">[1]!b_calc_curve_chinabond("1102",AH$1,$B21)</f>
        <v>0</v>
      </c>
      <c r="AI21" s="7">
        <f ca="1">[1]!b_calc_curve_chinabond("1102",AI$1,$B21)</f>
        <v>0</v>
      </c>
    </row>
    <row r="22" spans="1:35" ht="19.5" customHeight="1">
      <c r="A22" s="1" t="s">
        <v>22</v>
      </c>
      <c r="B22" s="2">
        <v>1.4</v>
      </c>
      <c r="C22" s="7">
        <f ca="1">[1]!b_calc_curve_chinabond("1102",C$1,$B22)</f>
        <v>1.5306999999999999</v>
      </c>
      <c r="D22" s="7">
        <f ca="1">[1]!b_calc_curve_chinabond("1102",D$1,$B22)</f>
        <v>1.5397000000000001</v>
      </c>
      <c r="E22" s="7">
        <f ca="1">[1]!b_calc_curve_chinabond("1102",E$1,$B22)</f>
        <v>0</v>
      </c>
      <c r="F22" s="7">
        <f ca="1">[1]!b_calc_curve_chinabond("1102",F$1,$B22)</f>
        <v>0</v>
      </c>
      <c r="G22" s="7">
        <f ca="1">[1]!b_calc_curve_chinabond("1102",G$1,$B22)</f>
        <v>1.5356000000000001</v>
      </c>
      <c r="H22" s="7">
        <f ca="1">[1]!b_calc_curve_chinabond("1102",H$1,$B22)</f>
        <v>1.5466</v>
      </c>
      <c r="I22" s="7">
        <f ca="1">[1]!b_calc_curve_chinabond("1102",I$1,$B22)</f>
        <v>1.52</v>
      </c>
      <c r="J22" s="7">
        <f ca="1">[1]!b_calc_curve_chinabond("1102",J$1,$B22)</f>
        <v>1.5033000000000001</v>
      </c>
      <c r="K22" s="7">
        <f ca="1">[1]!b_calc_curve_chinabond("1102",K$1,$B22)</f>
        <v>1.496</v>
      </c>
      <c r="L22" s="7">
        <f ca="1">[1]!b_calc_curve_chinabond("1102",L$1,$B22)</f>
        <v>0</v>
      </c>
      <c r="M22" s="7">
        <f ca="1">[1]!b_calc_curve_chinabond("1102",M$1,$B22)</f>
        <v>0</v>
      </c>
      <c r="N22" s="7">
        <f ca="1">[1]!b_calc_curve_chinabond("1102",N$1,$B22)</f>
        <v>1.4987999999999999</v>
      </c>
      <c r="O22" s="7">
        <f ca="1">[1]!b_calc_curve_chinabond("1102",O$1,$B22)</f>
        <v>1.4975000000000001</v>
      </c>
      <c r="P22" s="7">
        <f ca="1">[1]!b_calc_curve_chinabond("1102",P$1,$B22)</f>
        <v>1.4958</v>
      </c>
      <c r="Q22" s="7">
        <f ca="1">[1]!b_calc_curve_chinabond("1102",Q$1,$B22)</f>
        <v>1.5002</v>
      </c>
      <c r="R22" s="7">
        <f ca="1">[1]!b_calc_curve_chinabond("1102",R$1,$B22)</f>
        <v>1.4893000000000001</v>
      </c>
      <c r="S22" s="7">
        <f ca="1">[1]!b_calc_curve_chinabond("1102",S$1,$B22)</f>
        <v>0</v>
      </c>
      <c r="T22" s="7">
        <f ca="1">[1]!b_calc_curve_chinabond("1102",T$1,$B22)</f>
        <v>0</v>
      </c>
      <c r="U22" s="7">
        <f ca="1">[1]!b_calc_curve_chinabond("1102",U$1,$B22)</f>
        <v>1.5145</v>
      </c>
      <c r="V22" s="7">
        <f ca="1">[1]!b_calc_curve_chinabond("1102",V$1,$B22)</f>
        <v>1.5366</v>
      </c>
      <c r="W22" s="7">
        <f ca="1">[1]!b_calc_curve_chinabond("1102",W$1,$B22)</f>
        <v>1.5471999999999999</v>
      </c>
      <c r="X22" s="7">
        <f ca="1">[1]!b_calc_curve_chinabond("1102",X$1,$B22)</f>
        <v>1.5777000000000001</v>
      </c>
      <c r="Y22" s="7">
        <f ca="1">[1]!b_calc_curve_chinabond("1102",Y$1,$B22)</f>
        <v>1.5838000000000001</v>
      </c>
      <c r="Z22" s="7">
        <f ca="1">[1]!b_calc_curve_chinabond("1102",Z$1,$B22)</f>
        <v>0</v>
      </c>
      <c r="AA22" s="7">
        <f ca="1">[1]!b_calc_curve_chinabond("1102",AA$1,$B22)</f>
        <v>0</v>
      </c>
      <c r="AB22" s="7">
        <f ca="1">[1]!b_calc_curve_chinabond("1102",AB$1,$B22)</f>
        <v>1.5920000000000001</v>
      </c>
      <c r="AC22" s="7">
        <f ca="1">[1]!b_calc_curve_chinabond("1102",AC$1,$B22)</f>
        <v>1.5575000000000001</v>
      </c>
      <c r="AD22" s="7">
        <f ca="1">[1]!b_calc_curve_chinabond("1102",AD$1,$B22)</f>
        <v>1.5670999999999999</v>
      </c>
      <c r="AE22" s="7">
        <f ca="1">[1]!b_calc_curve_chinabond("1102",AE$1,$B22)</f>
        <v>1.5447</v>
      </c>
      <c r="AF22" s="7">
        <f ca="1">[1]!b_calc_curve_chinabond("1102",AF$1,$B22)</f>
        <v>0</v>
      </c>
      <c r="AG22" s="7">
        <f ca="1">[1]!b_calc_curve_chinabond("1102",AG$1,$B22)</f>
        <v>0</v>
      </c>
      <c r="AH22" s="7">
        <f ca="1">[1]!b_calc_curve_chinabond("1102",AH$1,$B22)</f>
        <v>0</v>
      </c>
      <c r="AI22" s="7">
        <f ca="1">[1]!b_calc_curve_chinabond("1102",AI$1,$B22)</f>
        <v>0</v>
      </c>
    </row>
    <row r="23" spans="1:35" ht="19.5" customHeight="1">
      <c r="A23" s="3" t="s">
        <v>23</v>
      </c>
      <c r="B23" s="4">
        <v>1.5</v>
      </c>
      <c r="C23" s="7">
        <f ca="1">[1]!b_calc_curve_chinabond("1102",C$1,$B23)</f>
        <v>1.544</v>
      </c>
      <c r="D23" s="7">
        <f ca="1">[1]!b_calc_curve_chinabond("1102",D$1,$B23)</f>
        <v>1.5517000000000001</v>
      </c>
      <c r="E23" s="7">
        <f ca="1">[1]!b_calc_curve_chinabond("1102",E$1,$B23)</f>
        <v>0</v>
      </c>
      <c r="F23" s="7">
        <f ca="1">[1]!b_calc_curve_chinabond("1102",F$1,$B23)</f>
        <v>0</v>
      </c>
      <c r="G23" s="7">
        <f ca="1">[1]!b_calc_curve_chinabond("1102",G$1,$B23)</f>
        <v>1.5470999999999999</v>
      </c>
      <c r="H23" s="7">
        <f ca="1">[1]!b_calc_curve_chinabond("1102",H$1,$B23)</f>
        <v>1.5552999999999999</v>
      </c>
      <c r="I23" s="7">
        <f ca="1">[1]!b_calc_curve_chinabond("1102",I$1,$B23)</f>
        <v>1.5306999999999999</v>
      </c>
      <c r="J23" s="7">
        <f ca="1">[1]!b_calc_curve_chinabond("1102",J$1,$B23)</f>
        <v>1.5150999999999999</v>
      </c>
      <c r="K23" s="7">
        <f ca="1">[1]!b_calc_curve_chinabond("1102",K$1,$B23)</f>
        <v>1.5084</v>
      </c>
      <c r="L23" s="7">
        <f ca="1">[1]!b_calc_curve_chinabond("1102",L$1,$B23)</f>
        <v>0</v>
      </c>
      <c r="M23" s="7">
        <f ca="1">[1]!b_calc_curve_chinabond("1102",M$1,$B23)</f>
        <v>0</v>
      </c>
      <c r="N23" s="7">
        <f ca="1">[1]!b_calc_curve_chinabond("1102",N$1,$B23)</f>
        <v>1.5088999999999999</v>
      </c>
      <c r="O23" s="7">
        <f ca="1">[1]!b_calc_curve_chinabond("1102",O$1,$B23)</f>
        <v>1.5079</v>
      </c>
      <c r="P23" s="7">
        <f ca="1">[1]!b_calc_curve_chinabond("1102",P$1,$B23)</f>
        <v>1.5064</v>
      </c>
      <c r="Q23" s="7">
        <f ca="1">[1]!b_calc_curve_chinabond("1102",Q$1,$B23)</f>
        <v>1.5102</v>
      </c>
      <c r="R23" s="7">
        <f ca="1">[1]!b_calc_curve_chinabond("1102",R$1,$B23)</f>
        <v>1.5011000000000001</v>
      </c>
      <c r="S23" s="7">
        <f ca="1">[1]!b_calc_curve_chinabond("1102",S$1,$B23)</f>
        <v>0</v>
      </c>
      <c r="T23" s="7">
        <f ca="1">[1]!b_calc_curve_chinabond("1102",T$1,$B23)</f>
        <v>0</v>
      </c>
      <c r="U23" s="7">
        <f ca="1">[1]!b_calc_curve_chinabond("1102",U$1,$B23)</f>
        <v>1.5234000000000001</v>
      </c>
      <c r="V23" s="7">
        <f ca="1">[1]!b_calc_curve_chinabond("1102",V$1,$B23)</f>
        <v>1.546</v>
      </c>
      <c r="W23" s="7">
        <f ca="1">[1]!b_calc_curve_chinabond("1102",W$1,$B23)</f>
        <v>1.5580000000000001</v>
      </c>
      <c r="X23" s="7">
        <f ca="1">[1]!b_calc_curve_chinabond("1102",X$1,$B23)</f>
        <v>1.5878000000000001</v>
      </c>
      <c r="Y23" s="7">
        <f ca="1">[1]!b_calc_curve_chinabond("1102",Y$1,$B23)</f>
        <v>1.5922000000000001</v>
      </c>
      <c r="Z23" s="7">
        <f ca="1">[1]!b_calc_curve_chinabond("1102",Z$1,$B23)</f>
        <v>0</v>
      </c>
      <c r="AA23" s="7">
        <f ca="1">[1]!b_calc_curve_chinabond("1102",AA$1,$B23)</f>
        <v>0</v>
      </c>
      <c r="AB23" s="7">
        <f ca="1">[1]!b_calc_curve_chinabond("1102",AB$1,$B23)</f>
        <v>1.5992</v>
      </c>
      <c r="AC23" s="7">
        <f ca="1">[1]!b_calc_curve_chinabond("1102",AC$1,$B23)</f>
        <v>1.5676000000000001</v>
      </c>
      <c r="AD23" s="7">
        <f ca="1">[1]!b_calc_curve_chinabond("1102",AD$1,$B23)</f>
        <v>1.5731999999999999</v>
      </c>
      <c r="AE23" s="7">
        <f ca="1">[1]!b_calc_curve_chinabond("1102",AE$1,$B23)</f>
        <v>1.5529999999999999</v>
      </c>
      <c r="AF23" s="7">
        <f ca="1">[1]!b_calc_curve_chinabond("1102",AF$1,$B23)</f>
        <v>0</v>
      </c>
      <c r="AG23" s="7">
        <f ca="1">[1]!b_calc_curve_chinabond("1102",AG$1,$B23)</f>
        <v>0</v>
      </c>
      <c r="AH23" s="7">
        <f ca="1">[1]!b_calc_curve_chinabond("1102",AH$1,$B23)</f>
        <v>0</v>
      </c>
      <c r="AI23" s="7">
        <f ca="1">[1]!b_calc_curve_chinabond("1102",AI$1,$B23)</f>
        <v>0</v>
      </c>
    </row>
    <row r="24" spans="1:35" ht="19.5" customHeight="1">
      <c r="A24" s="1" t="s">
        <v>24</v>
      </c>
      <c r="B24" s="2">
        <v>1.6</v>
      </c>
      <c r="C24" s="7">
        <f ca="1">[1]!b_calc_curve_chinabond("1102",C$1,$B24)</f>
        <v>1.5573999999999999</v>
      </c>
      <c r="D24" s="7">
        <f ca="1">[1]!b_calc_curve_chinabond("1102",D$1,$B24)</f>
        <v>1.5633999999999999</v>
      </c>
      <c r="E24" s="7">
        <f ca="1">[1]!b_calc_curve_chinabond("1102",E$1,$B24)</f>
        <v>0</v>
      </c>
      <c r="F24" s="7">
        <f ca="1">[1]!b_calc_curve_chinabond("1102",F$1,$B24)</f>
        <v>0</v>
      </c>
      <c r="G24" s="7">
        <f ca="1">[1]!b_calc_curve_chinabond("1102",G$1,$B24)</f>
        <v>1.5580000000000001</v>
      </c>
      <c r="H24" s="7">
        <f ca="1">[1]!b_calc_curve_chinabond("1102",H$1,$B24)</f>
        <v>1.5625</v>
      </c>
      <c r="I24" s="7">
        <f ca="1">[1]!b_calc_curve_chinabond("1102",I$1,$B24)</f>
        <v>1.5409999999999999</v>
      </c>
      <c r="J24" s="7">
        <f ca="1">[1]!b_calc_curve_chinabond("1102",J$1,$B24)</f>
        <v>1.5269999999999999</v>
      </c>
      <c r="K24" s="7">
        <f ca="1">[1]!b_calc_curve_chinabond("1102",K$1,$B24)</f>
        <v>1.5214000000000001</v>
      </c>
      <c r="L24" s="7">
        <f ca="1">[1]!b_calc_curve_chinabond("1102",L$1,$B24)</f>
        <v>0</v>
      </c>
      <c r="M24" s="7">
        <f ca="1">[1]!b_calc_curve_chinabond("1102",M$1,$B24)</f>
        <v>0</v>
      </c>
      <c r="N24" s="7">
        <f ca="1">[1]!b_calc_curve_chinabond("1102",N$1,$B24)</f>
        <v>1.5192000000000001</v>
      </c>
      <c r="O24" s="7">
        <f ca="1">[1]!b_calc_curve_chinabond("1102",O$1,$B24)</f>
        <v>1.5190999999999999</v>
      </c>
      <c r="P24" s="7">
        <f ca="1">[1]!b_calc_curve_chinabond("1102",P$1,$B24)</f>
        <v>1.5173000000000001</v>
      </c>
      <c r="Q24" s="7">
        <f ca="1">[1]!b_calc_curve_chinabond("1102",Q$1,$B24)</f>
        <v>1.5203</v>
      </c>
      <c r="R24" s="7">
        <f ca="1">[1]!b_calc_curve_chinabond("1102",R$1,$B24)</f>
        <v>1.5136000000000001</v>
      </c>
      <c r="S24" s="7">
        <f ca="1">[1]!b_calc_curve_chinabond("1102",S$1,$B24)</f>
        <v>0</v>
      </c>
      <c r="T24" s="7">
        <f ca="1">[1]!b_calc_curve_chinabond("1102",T$1,$B24)</f>
        <v>0</v>
      </c>
      <c r="U24" s="7">
        <f ca="1">[1]!b_calc_curve_chinabond("1102",U$1,$B24)</f>
        <v>1.5321</v>
      </c>
      <c r="V24" s="7">
        <f ca="1">[1]!b_calc_curve_chinabond("1102",V$1,$B24)</f>
        <v>1.5549999999999999</v>
      </c>
      <c r="W24" s="7">
        <f ca="1">[1]!b_calc_curve_chinabond("1102",W$1,$B24)</f>
        <v>1.5685</v>
      </c>
      <c r="X24" s="7">
        <f ca="1">[1]!b_calc_curve_chinabond("1102",X$1,$B24)</f>
        <v>1.5973999999999999</v>
      </c>
      <c r="Y24" s="7">
        <f ca="1">[1]!b_calc_curve_chinabond("1102",Y$1,$B24)</f>
        <v>1.6</v>
      </c>
      <c r="Z24" s="7">
        <f ca="1">[1]!b_calc_curve_chinabond("1102",Z$1,$B24)</f>
        <v>0</v>
      </c>
      <c r="AA24" s="7">
        <f ca="1">[1]!b_calc_curve_chinabond("1102",AA$1,$B24)</f>
        <v>0</v>
      </c>
      <c r="AB24" s="7">
        <f ca="1">[1]!b_calc_curve_chinabond("1102",AB$1,$B24)</f>
        <v>1.6053999999999999</v>
      </c>
      <c r="AC24" s="7">
        <f ca="1">[1]!b_calc_curve_chinabond("1102",AC$1,$B24)</f>
        <v>1.5786</v>
      </c>
      <c r="AD24" s="7">
        <f ca="1">[1]!b_calc_curve_chinabond("1102",AD$1,$B24)</f>
        <v>1.5787</v>
      </c>
      <c r="AE24" s="7">
        <f ca="1">[1]!b_calc_curve_chinabond("1102",AE$1,$B24)</f>
        <v>1.5615000000000001</v>
      </c>
      <c r="AF24" s="7">
        <f ca="1">[1]!b_calc_curve_chinabond("1102",AF$1,$B24)</f>
        <v>0</v>
      </c>
      <c r="AG24" s="7">
        <f ca="1">[1]!b_calc_curve_chinabond("1102",AG$1,$B24)</f>
        <v>0</v>
      </c>
      <c r="AH24" s="7">
        <f ca="1">[1]!b_calc_curve_chinabond("1102",AH$1,$B24)</f>
        <v>0</v>
      </c>
      <c r="AI24" s="7">
        <f ca="1">[1]!b_calc_curve_chinabond("1102",AI$1,$B24)</f>
        <v>0</v>
      </c>
    </row>
    <row r="25" spans="1:35" ht="19.5" customHeight="1">
      <c r="A25" s="3" t="s">
        <v>25</v>
      </c>
      <c r="B25" s="4">
        <v>1.7</v>
      </c>
      <c r="C25" s="7">
        <f ca="1">[1]!b_calc_curve_chinabond("1102",C$1,$B25)</f>
        <v>1.5709</v>
      </c>
      <c r="D25" s="7">
        <f ca="1">[1]!b_calc_curve_chinabond("1102",D$1,$B25)</f>
        <v>1.5749</v>
      </c>
      <c r="E25" s="7">
        <f ca="1">[1]!b_calc_curve_chinabond("1102",E$1,$B25)</f>
        <v>0</v>
      </c>
      <c r="F25" s="7">
        <f ca="1">[1]!b_calc_curve_chinabond("1102",F$1,$B25)</f>
        <v>0</v>
      </c>
      <c r="G25" s="7">
        <f ca="1">[1]!b_calc_curve_chinabond("1102",G$1,$B25)</f>
        <v>1.5688</v>
      </c>
      <c r="H25" s="7">
        <f ca="1">[1]!b_calc_curve_chinabond("1102",H$1,$B25)</f>
        <v>1.5691999999999999</v>
      </c>
      <c r="I25" s="7">
        <f ca="1">[1]!b_calc_curve_chinabond("1102",I$1,$B25)</f>
        <v>1.5509999999999999</v>
      </c>
      <c r="J25" s="7">
        <f ca="1">[1]!b_calc_curve_chinabond("1102",J$1,$B25)</f>
        <v>1.5390999999999999</v>
      </c>
      <c r="K25" s="7">
        <f ca="1">[1]!b_calc_curve_chinabond("1102",K$1,$B25)</f>
        <v>1.5345</v>
      </c>
      <c r="L25" s="7">
        <f ca="1">[1]!b_calc_curve_chinabond("1102",L$1,$B25)</f>
        <v>0</v>
      </c>
      <c r="M25" s="7">
        <f ca="1">[1]!b_calc_curve_chinabond("1102",M$1,$B25)</f>
        <v>0</v>
      </c>
      <c r="N25" s="7">
        <f ca="1">[1]!b_calc_curve_chinabond("1102",N$1,$B25)</f>
        <v>1.5295000000000001</v>
      </c>
      <c r="O25" s="7">
        <f ca="1">[1]!b_calc_curve_chinabond("1102",O$1,$B25)</f>
        <v>1.5303</v>
      </c>
      <c r="P25" s="7">
        <f ca="1">[1]!b_calc_curve_chinabond("1102",P$1,$B25)</f>
        <v>1.5282</v>
      </c>
      <c r="Q25" s="7">
        <f ca="1">[1]!b_calc_curve_chinabond("1102",Q$1,$B25)</f>
        <v>1.5304</v>
      </c>
      <c r="R25" s="7">
        <f ca="1">[1]!b_calc_curve_chinabond("1102",R$1,$B25)</f>
        <v>1.5263</v>
      </c>
      <c r="S25" s="7">
        <f ca="1">[1]!b_calc_curve_chinabond("1102",S$1,$B25)</f>
        <v>0</v>
      </c>
      <c r="T25" s="7">
        <f ca="1">[1]!b_calc_curve_chinabond("1102",T$1,$B25)</f>
        <v>0</v>
      </c>
      <c r="U25" s="7">
        <f ca="1">[1]!b_calc_curve_chinabond("1102",U$1,$B25)</f>
        <v>1.5407</v>
      </c>
      <c r="V25" s="7">
        <f ca="1">[1]!b_calc_curve_chinabond("1102",V$1,$B25)</f>
        <v>1.5641</v>
      </c>
      <c r="W25" s="7">
        <f ca="1">[1]!b_calc_curve_chinabond("1102",W$1,$B25)</f>
        <v>1.579</v>
      </c>
      <c r="X25" s="7">
        <f ca="1">[1]!b_calc_curve_chinabond("1102",X$1,$B25)</f>
        <v>1.6068</v>
      </c>
      <c r="Y25" s="7">
        <f ca="1">[1]!b_calc_curve_chinabond("1102",Y$1,$B25)</f>
        <v>1.6074999999999999</v>
      </c>
      <c r="Z25" s="7">
        <f ca="1">[1]!b_calc_curve_chinabond("1102",Z$1,$B25)</f>
        <v>0</v>
      </c>
      <c r="AA25" s="7">
        <f ca="1">[1]!b_calc_curve_chinabond("1102",AA$1,$B25)</f>
        <v>0</v>
      </c>
      <c r="AB25" s="7">
        <f ca="1">[1]!b_calc_curve_chinabond("1102",AB$1,$B25)</f>
        <v>1.6113</v>
      </c>
      <c r="AC25" s="7">
        <f ca="1">[1]!b_calc_curve_chinabond("1102",AC$1,$B25)</f>
        <v>1.59</v>
      </c>
      <c r="AD25" s="7">
        <f ca="1">[1]!b_calc_curve_chinabond("1102",AD$1,$B25)</f>
        <v>1.5839000000000001</v>
      </c>
      <c r="AE25" s="7">
        <f ca="1">[1]!b_calc_curve_chinabond("1102",AE$1,$B25)</f>
        <v>1.57</v>
      </c>
      <c r="AF25" s="7">
        <f ca="1">[1]!b_calc_curve_chinabond("1102",AF$1,$B25)</f>
        <v>0</v>
      </c>
      <c r="AG25" s="7">
        <f ca="1">[1]!b_calc_curve_chinabond("1102",AG$1,$B25)</f>
        <v>0</v>
      </c>
      <c r="AH25" s="7">
        <f ca="1">[1]!b_calc_curve_chinabond("1102",AH$1,$B25)</f>
        <v>0</v>
      </c>
      <c r="AI25" s="7">
        <f ca="1">[1]!b_calc_curve_chinabond("1102",AI$1,$B25)</f>
        <v>0</v>
      </c>
    </row>
    <row r="26" spans="1:35" ht="19.5" customHeight="1">
      <c r="A26" s="1" t="s">
        <v>26</v>
      </c>
      <c r="B26" s="2">
        <v>1.8</v>
      </c>
      <c r="C26" s="7">
        <f ca="1">[1]!b_calc_curve_chinabond("1102",C$1,$B26)</f>
        <v>1.5843</v>
      </c>
      <c r="D26" s="7">
        <f ca="1">[1]!b_calc_curve_chinabond("1102",D$1,$B26)</f>
        <v>1.5864</v>
      </c>
      <c r="E26" s="7">
        <f ca="1">[1]!b_calc_curve_chinabond("1102",E$1,$B26)</f>
        <v>0</v>
      </c>
      <c r="F26" s="7">
        <f ca="1">[1]!b_calc_curve_chinabond("1102",F$1,$B26)</f>
        <v>0</v>
      </c>
      <c r="G26" s="7">
        <f ca="1">[1]!b_calc_curve_chinabond("1102",G$1,$B26)</f>
        <v>1.5797000000000001</v>
      </c>
      <c r="H26" s="7">
        <f ca="1">[1]!b_calc_curve_chinabond("1102",H$1,$B26)</f>
        <v>1.5761000000000001</v>
      </c>
      <c r="I26" s="7">
        <f ca="1">[1]!b_calc_curve_chinabond("1102",I$1,$B26)</f>
        <v>1.5610999999999999</v>
      </c>
      <c r="J26" s="7">
        <f ca="1">[1]!b_calc_curve_chinabond("1102",J$1,$B26)</f>
        <v>1.5511999999999999</v>
      </c>
      <c r="K26" s="7">
        <f ca="1">[1]!b_calc_curve_chinabond("1102",K$1,$B26)</f>
        <v>1.5475000000000001</v>
      </c>
      <c r="L26" s="7">
        <f ca="1">[1]!b_calc_curve_chinabond("1102",L$1,$B26)</f>
        <v>0</v>
      </c>
      <c r="M26" s="7">
        <f ca="1">[1]!b_calc_curve_chinabond("1102",M$1,$B26)</f>
        <v>0</v>
      </c>
      <c r="N26" s="7">
        <f ca="1">[1]!b_calc_curve_chinabond("1102",N$1,$B26)</f>
        <v>1.5398000000000001</v>
      </c>
      <c r="O26" s="7">
        <f ca="1">[1]!b_calc_curve_chinabond("1102",O$1,$B26)</f>
        <v>1.5405</v>
      </c>
      <c r="P26" s="7">
        <f ca="1">[1]!b_calc_curve_chinabond("1102",P$1,$B26)</f>
        <v>1.5391999999999999</v>
      </c>
      <c r="Q26" s="7">
        <f ca="1">[1]!b_calc_curve_chinabond("1102",Q$1,$B26)</f>
        <v>1.5405</v>
      </c>
      <c r="R26" s="7">
        <f ca="1">[1]!b_calc_curve_chinabond("1102",R$1,$B26)</f>
        <v>1.5388999999999999</v>
      </c>
      <c r="S26" s="7">
        <f ca="1">[1]!b_calc_curve_chinabond("1102",S$1,$B26)</f>
        <v>0</v>
      </c>
      <c r="T26" s="7">
        <f ca="1">[1]!b_calc_curve_chinabond("1102",T$1,$B26)</f>
        <v>0</v>
      </c>
      <c r="U26" s="7">
        <f ca="1">[1]!b_calc_curve_chinabond("1102",U$1,$B26)</f>
        <v>1.5492999999999999</v>
      </c>
      <c r="V26" s="7">
        <f ca="1">[1]!b_calc_curve_chinabond("1102",V$1,$B26)</f>
        <v>1.5739000000000001</v>
      </c>
      <c r="W26" s="7">
        <f ca="1">[1]!b_calc_curve_chinabond("1102",W$1,$B26)</f>
        <v>1.5894999999999999</v>
      </c>
      <c r="X26" s="7">
        <f ca="1">[1]!b_calc_curve_chinabond("1102",X$1,$B26)</f>
        <v>1.6164000000000001</v>
      </c>
      <c r="Y26" s="7">
        <f ca="1">[1]!b_calc_curve_chinabond("1102",Y$1,$B26)</f>
        <v>1.6151</v>
      </c>
      <c r="Z26" s="7">
        <f ca="1">[1]!b_calc_curve_chinabond("1102",Z$1,$B26)</f>
        <v>0</v>
      </c>
      <c r="AA26" s="7">
        <f ca="1">[1]!b_calc_curve_chinabond("1102",AA$1,$B26)</f>
        <v>0</v>
      </c>
      <c r="AB26" s="7">
        <f ca="1">[1]!b_calc_curve_chinabond("1102",AB$1,$B26)</f>
        <v>1.6173</v>
      </c>
      <c r="AC26" s="7">
        <f ca="1">[1]!b_calc_curve_chinabond("1102",AC$1,$B26)</f>
        <v>1.6011</v>
      </c>
      <c r="AD26" s="7">
        <f ca="1">[1]!b_calc_curve_chinabond("1102",AD$1,$B26)</f>
        <v>1.5892999999999999</v>
      </c>
      <c r="AE26" s="7">
        <f ca="1">[1]!b_calc_curve_chinabond("1102",AE$1,$B26)</f>
        <v>1.5786</v>
      </c>
      <c r="AF26" s="7">
        <f ca="1">[1]!b_calc_curve_chinabond("1102",AF$1,$B26)</f>
        <v>0</v>
      </c>
      <c r="AG26" s="7">
        <f ca="1">[1]!b_calc_curve_chinabond("1102",AG$1,$B26)</f>
        <v>0</v>
      </c>
      <c r="AH26" s="7">
        <f ca="1">[1]!b_calc_curve_chinabond("1102",AH$1,$B26)</f>
        <v>0</v>
      </c>
      <c r="AI26" s="7">
        <f ca="1">[1]!b_calc_curve_chinabond("1102",AI$1,$B26)</f>
        <v>0</v>
      </c>
    </row>
    <row r="27" spans="1:35" ht="19.5" customHeight="1">
      <c r="A27" s="3" t="s">
        <v>27</v>
      </c>
      <c r="B27" s="4">
        <v>1.9</v>
      </c>
      <c r="C27" s="7">
        <f ca="1">[1]!b_calc_curve_chinabond("1102",C$1,$B27)</f>
        <v>1.5975999999999999</v>
      </c>
      <c r="D27" s="7">
        <f ca="1">[1]!b_calc_curve_chinabond("1102",D$1,$B27)</f>
        <v>1.5983000000000001</v>
      </c>
      <c r="E27" s="7">
        <f ca="1">[1]!b_calc_curve_chinabond("1102",E$1,$B27)</f>
        <v>0</v>
      </c>
      <c r="F27" s="7">
        <f ca="1">[1]!b_calc_curve_chinabond("1102",F$1,$B27)</f>
        <v>0</v>
      </c>
      <c r="G27" s="7">
        <f ca="1">[1]!b_calc_curve_chinabond("1102",G$1,$B27)</f>
        <v>1.591</v>
      </c>
      <c r="H27" s="7">
        <f ca="1">[1]!b_calc_curve_chinabond("1102",H$1,$B27)</f>
        <v>1.5842000000000001</v>
      </c>
      <c r="I27" s="7">
        <f ca="1">[1]!b_calc_curve_chinabond("1102",I$1,$B27)</f>
        <v>1.5717000000000001</v>
      </c>
      <c r="J27" s="7">
        <f ca="1">[1]!b_calc_curve_chinabond("1102",J$1,$B27)</f>
        <v>1.5629999999999999</v>
      </c>
      <c r="K27" s="7">
        <f ca="1">[1]!b_calc_curve_chinabond("1102",K$1,$B27)</f>
        <v>1.5601</v>
      </c>
      <c r="L27" s="7">
        <f ca="1">[1]!b_calc_curve_chinabond("1102",L$1,$B27)</f>
        <v>0</v>
      </c>
      <c r="M27" s="7">
        <f ca="1">[1]!b_calc_curve_chinabond("1102",M$1,$B27)</f>
        <v>0</v>
      </c>
      <c r="N27" s="7">
        <f ca="1">[1]!b_calc_curve_chinabond("1102",N$1,$B27)</f>
        <v>1.5501</v>
      </c>
      <c r="O27" s="7">
        <f ca="1">[1]!b_calc_curve_chinabond("1102",O$1,$B27)</f>
        <v>1.5495000000000001</v>
      </c>
      <c r="P27" s="7">
        <f ca="1">[1]!b_calc_curve_chinabond("1102",P$1,$B27)</f>
        <v>1.5499000000000001</v>
      </c>
      <c r="Q27" s="7">
        <f ca="1">[1]!b_calc_curve_chinabond("1102",Q$1,$B27)</f>
        <v>1.5506</v>
      </c>
      <c r="R27" s="7">
        <f ca="1">[1]!b_calc_curve_chinabond("1102",R$1,$B27)</f>
        <v>1.5509999999999999</v>
      </c>
      <c r="S27" s="7">
        <f ca="1">[1]!b_calc_curve_chinabond("1102",S$1,$B27)</f>
        <v>0</v>
      </c>
      <c r="T27" s="7">
        <f ca="1">[1]!b_calc_curve_chinabond("1102",T$1,$B27)</f>
        <v>0</v>
      </c>
      <c r="U27" s="7">
        <f ca="1">[1]!b_calc_curve_chinabond("1102",U$1,$B27)</f>
        <v>1.5582</v>
      </c>
      <c r="V27" s="7">
        <f ca="1">[1]!b_calc_curve_chinabond("1102",V$1,$B27)</f>
        <v>1.5845</v>
      </c>
      <c r="W27" s="7">
        <f ca="1">[1]!b_calc_curve_chinabond("1102",W$1,$B27)</f>
        <v>1.6001000000000001</v>
      </c>
      <c r="X27" s="7">
        <f ca="1">[1]!b_calc_curve_chinabond("1102",X$1,$B27)</f>
        <v>1.6263000000000001</v>
      </c>
      <c r="Y27" s="7">
        <f ca="1">[1]!b_calc_curve_chinabond("1102",Y$1,$B27)</f>
        <v>1.6232</v>
      </c>
      <c r="Z27" s="7">
        <f ca="1">[1]!b_calc_curve_chinabond("1102",Z$1,$B27)</f>
        <v>0</v>
      </c>
      <c r="AA27" s="7">
        <f ca="1">[1]!b_calc_curve_chinabond("1102",AA$1,$B27)</f>
        <v>0</v>
      </c>
      <c r="AB27" s="7">
        <f ca="1">[1]!b_calc_curve_chinabond("1102",AB$1,$B27)</f>
        <v>1.6241000000000001</v>
      </c>
      <c r="AC27" s="7">
        <f ca="1">[1]!b_calc_curve_chinabond("1102",AC$1,$B27)</f>
        <v>1.6115999999999999</v>
      </c>
      <c r="AD27" s="7">
        <f ca="1">[1]!b_calc_curve_chinabond("1102",AD$1,$B27)</f>
        <v>1.5952</v>
      </c>
      <c r="AE27" s="7">
        <f ca="1">[1]!b_calc_curve_chinabond("1102",AE$1,$B27)</f>
        <v>1.5869</v>
      </c>
      <c r="AF27" s="7">
        <f ca="1">[1]!b_calc_curve_chinabond("1102",AF$1,$B27)</f>
        <v>0</v>
      </c>
      <c r="AG27" s="7">
        <f ca="1">[1]!b_calc_curve_chinabond("1102",AG$1,$B27)</f>
        <v>0</v>
      </c>
      <c r="AH27" s="7">
        <f ca="1">[1]!b_calc_curve_chinabond("1102",AH$1,$B27)</f>
        <v>0</v>
      </c>
      <c r="AI27" s="7">
        <f ca="1">[1]!b_calc_curve_chinabond("1102",AI$1,$B27)</f>
        <v>0</v>
      </c>
    </row>
    <row r="28" spans="1:35" ht="19.5" customHeight="1">
      <c r="A28" s="1" t="s">
        <v>28</v>
      </c>
      <c r="B28" s="2">
        <v>2</v>
      </c>
      <c r="C28" s="7">
        <f ca="1">[1]!b_calc_curve_chinabond("1102",C$1,$B28)</f>
        <v>1.6109</v>
      </c>
      <c r="D28" s="7">
        <f ca="1">[1]!b_calc_curve_chinabond("1102",D$1,$B28)</f>
        <v>1.6107</v>
      </c>
      <c r="E28" s="7">
        <f ca="1">[1]!b_calc_curve_chinabond("1102",E$1,$B28)</f>
        <v>0</v>
      </c>
      <c r="F28" s="7">
        <f ca="1">[1]!b_calc_curve_chinabond("1102",F$1,$B28)</f>
        <v>0</v>
      </c>
      <c r="G28" s="7">
        <f ca="1">[1]!b_calc_curve_chinabond("1102",G$1,$B28)</f>
        <v>1.603</v>
      </c>
      <c r="H28" s="7">
        <f ca="1">[1]!b_calc_curve_chinabond("1102",H$1,$B28)</f>
        <v>1.5944</v>
      </c>
      <c r="I28" s="7">
        <f ca="1">[1]!b_calc_curve_chinabond("1102",I$1,$B28)</f>
        <v>1.5828</v>
      </c>
      <c r="J28" s="7">
        <f ca="1">[1]!b_calc_curve_chinabond("1102",J$1,$B28)</f>
        <v>1.5746</v>
      </c>
      <c r="K28" s="7">
        <f ca="1">[1]!b_calc_curve_chinabond("1102",K$1,$B28)</f>
        <v>1.5721000000000001</v>
      </c>
      <c r="L28" s="7">
        <f ca="1">[1]!b_calc_curve_chinabond("1102",L$1,$B28)</f>
        <v>0</v>
      </c>
      <c r="M28" s="7">
        <f ca="1">[1]!b_calc_curve_chinabond("1102",M$1,$B28)</f>
        <v>0</v>
      </c>
      <c r="N28" s="7">
        <f ca="1">[1]!b_calc_curve_chinabond("1102",N$1,$B28)</f>
        <v>1.5602</v>
      </c>
      <c r="O28" s="7">
        <f ca="1">[1]!b_calc_curve_chinabond("1102",O$1,$B28)</f>
        <v>1.5576000000000001</v>
      </c>
      <c r="P28" s="7">
        <f ca="1">[1]!b_calc_curve_chinabond("1102",P$1,$B28)</f>
        <v>1.5602</v>
      </c>
      <c r="Q28" s="7">
        <f ca="1">[1]!b_calc_curve_chinabond("1102",Q$1,$B28)</f>
        <v>1.5605</v>
      </c>
      <c r="R28" s="7">
        <f ca="1">[1]!b_calc_curve_chinabond("1102",R$1,$B28)</f>
        <v>1.5621</v>
      </c>
      <c r="S28" s="7">
        <f ca="1">[1]!b_calc_curve_chinabond("1102",S$1,$B28)</f>
        <v>0</v>
      </c>
      <c r="T28" s="7">
        <f ca="1">[1]!b_calc_curve_chinabond("1102",T$1,$B28)</f>
        <v>0</v>
      </c>
      <c r="U28" s="7">
        <f ca="1">[1]!b_calc_curve_chinabond("1102",U$1,$B28)</f>
        <v>1.5674999999999999</v>
      </c>
      <c r="V28" s="7">
        <f ca="1">[1]!b_calc_curve_chinabond("1102",V$1,$B28)</f>
        <v>1.5939000000000001</v>
      </c>
      <c r="W28" s="7">
        <f ca="1">[1]!b_calc_curve_chinabond("1102",W$1,$B28)</f>
        <v>1.6112</v>
      </c>
      <c r="X28" s="7">
        <f ca="1">[1]!b_calc_curve_chinabond("1102",X$1,$B28)</f>
        <v>1.637</v>
      </c>
      <c r="Y28" s="7">
        <f ca="1">[1]!b_calc_curve_chinabond("1102",Y$1,$B28)</f>
        <v>1.6323000000000001</v>
      </c>
      <c r="Z28" s="7">
        <f ca="1">[1]!b_calc_curve_chinabond("1102",Z$1,$B28)</f>
        <v>0</v>
      </c>
      <c r="AA28" s="7">
        <f ca="1">[1]!b_calc_curve_chinabond("1102",AA$1,$B28)</f>
        <v>0</v>
      </c>
      <c r="AB28" s="7">
        <f ca="1">[1]!b_calc_curve_chinabond("1102",AB$1,$B28)</f>
        <v>1.6323000000000001</v>
      </c>
      <c r="AC28" s="7">
        <f ca="1">[1]!b_calc_curve_chinabond("1102",AC$1,$B28)</f>
        <v>1.6209</v>
      </c>
      <c r="AD28" s="7">
        <f ca="1">[1]!b_calc_curve_chinabond("1102",AD$1,$B28)</f>
        <v>1.6019000000000001</v>
      </c>
      <c r="AE28" s="7">
        <f ca="1">[1]!b_calc_curve_chinabond("1102",AE$1,$B28)</f>
        <v>1.5951</v>
      </c>
      <c r="AF28" s="7">
        <f ca="1">[1]!b_calc_curve_chinabond("1102",AF$1,$B28)</f>
        <v>0</v>
      </c>
      <c r="AG28" s="7">
        <f ca="1">[1]!b_calc_curve_chinabond("1102",AG$1,$B28)</f>
        <v>0</v>
      </c>
      <c r="AH28" s="7">
        <f ca="1">[1]!b_calc_curve_chinabond("1102",AH$1,$B28)</f>
        <v>0</v>
      </c>
      <c r="AI28" s="7">
        <f ca="1">[1]!b_calc_curve_chinabond("1102",AI$1,$B28)</f>
        <v>0</v>
      </c>
    </row>
    <row r="29" spans="1:35" ht="19.5" customHeight="1">
      <c r="A29" s="3" t="s">
        <v>29</v>
      </c>
      <c r="B29" s="4">
        <v>2.1</v>
      </c>
      <c r="C29" s="7">
        <f ca="1">[1]!b_calc_curve_chinabond("1102",C$1,$B29)</f>
        <v>1.6228</v>
      </c>
      <c r="D29" s="7">
        <f ca="1">[1]!b_calc_curve_chinabond("1102",D$1,$B29)</f>
        <v>1.6221000000000001</v>
      </c>
      <c r="E29" s="7">
        <f ca="1">[1]!b_calc_curve_chinabond("1102",E$1,$B29)</f>
        <v>0</v>
      </c>
      <c r="F29" s="7">
        <f ca="1">[1]!b_calc_curve_chinabond("1102",F$1,$B29)</f>
        <v>0</v>
      </c>
      <c r="G29" s="7">
        <f ca="1">[1]!b_calc_curve_chinabond("1102",G$1,$B29)</f>
        <v>1.6142000000000001</v>
      </c>
      <c r="H29" s="7">
        <f ca="1">[1]!b_calc_curve_chinabond("1102",H$1,$B29)</f>
        <v>1.605</v>
      </c>
      <c r="I29" s="7">
        <f ca="1">[1]!b_calc_curve_chinabond("1102",I$1,$B29)</f>
        <v>1.5934999999999999</v>
      </c>
      <c r="J29" s="7">
        <f ca="1">[1]!b_calc_curve_chinabond("1102",J$1,$B29)</f>
        <v>1.5849</v>
      </c>
      <c r="K29" s="7">
        <f ca="1">[1]!b_calc_curve_chinabond("1102",K$1,$B29)</f>
        <v>1.5827</v>
      </c>
      <c r="L29" s="7">
        <f ca="1">[1]!b_calc_curve_chinabond("1102",L$1,$B29)</f>
        <v>0</v>
      </c>
      <c r="M29" s="7">
        <f ca="1">[1]!b_calc_curve_chinabond("1102",M$1,$B29)</f>
        <v>0</v>
      </c>
      <c r="N29" s="7">
        <f ca="1">[1]!b_calc_curve_chinabond("1102",N$1,$B29)</f>
        <v>1.5694999999999999</v>
      </c>
      <c r="O29" s="7">
        <f ca="1">[1]!b_calc_curve_chinabond("1102",O$1,$B29)</f>
        <v>1.5647</v>
      </c>
      <c r="P29" s="7">
        <f ca="1">[1]!b_calc_curve_chinabond("1102",P$1,$B29)</f>
        <v>1.5693999999999999</v>
      </c>
      <c r="Q29" s="7">
        <f ca="1">[1]!b_calc_curve_chinabond("1102",Q$1,$B29)</f>
        <v>1.5694999999999999</v>
      </c>
      <c r="R29" s="7">
        <f ca="1">[1]!b_calc_curve_chinabond("1102",R$1,$B29)</f>
        <v>1.5716000000000001</v>
      </c>
      <c r="S29" s="7">
        <f ca="1">[1]!b_calc_curve_chinabond("1102",S$1,$B29)</f>
        <v>0</v>
      </c>
      <c r="T29" s="7">
        <f ca="1">[1]!b_calc_curve_chinabond("1102",T$1,$B29)</f>
        <v>0</v>
      </c>
      <c r="U29" s="7">
        <f ca="1">[1]!b_calc_curve_chinabond("1102",U$1,$B29)</f>
        <v>1.5764</v>
      </c>
      <c r="V29" s="7">
        <f ca="1">[1]!b_calc_curve_chinabond("1102",V$1,$B29)</f>
        <v>1.6019000000000001</v>
      </c>
      <c r="W29" s="7">
        <f ca="1">[1]!b_calc_curve_chinabond("1102",W$1,$B29)</f>
        <v>1.6211</v>
      </c>
      <c r="X29" s="7">
        <f ca="1">[1]!b_calc_curve_chinabond("1102",X$1,$B29)</f>
        <v>1.6469</v>
      </c>
      <c r="Y29" s="7">
        <f ca="1">[1]!b_calc_curve_chinabond("1102",Y$1,$B29)</f>
        <v>1.6414</v>
      </c>
      <c r="Z29" s="7">
        <f ca="1">[1]!b_calc_curve_chinabond("1102",Z$1,$B29)</f>
        <v>0</v>
      </c>
      <c r="AA29" s="7">
        <f ca="1">[1]!b_calc_curve_chinabond("1102",AA$1,$B29)</f>
        <v>0</v>
      </c>
      <c r="AB29" s="7">
        <f ca="1">[1]!b_calc_curve_chinabond("1102",AB$1,$B29)</f>
        <v>1.6408</v>
      </c>
      <c r="AC29" s="7">
        <f ca="1">[1]!b_calc_curve_chinabond("1102",AC$1,$B29)</f>
        <v>1.6292</v>
      </c>
      <c r="AD29" s="7">
        <f ca="1">[1]!b_calc_curve_chinabond("1102",AD$1,$B29)</f>
        <v>1.6093</v>
      </c>
      <c r="AE29" s="7">
        <f ca="1">[1]!b_calc_curve_chinabond("1102",AE$1,$B29)</f>
        <v>1.6029</v>
      </c>
      <c r="AF29" s="7">
        <f ca="1">[1]!b_calc_curve_chinabond("1102",AF$1,$B29)</f>
        <v>0</v>
      </c>
      <c r="AG29" s="7">
        <f ca="1">[1]!b_calc_curve_chinabond("1102",AG$1,$B29)</f>
        <v>0</v>
      </c>
      <c r="AH29" s="7">
        <f ca="1">[1]!b_calc_curve_chinabond("1102",AH$1,$B29)</f>
        <v>0</v>
      </c>
      <c r="AI29" s="7">
        <f ca="1">[1]!b_calc_curve_chinabond("1102",AI$1,$B29)</f>
        <v>0</v>
      </c>
    </row>
    <row r="30" spans="1:35" ht="19.5" customHeight="1">
      <c r="A30" s="1" t="s">
        <v>30</v>
      </c>
      <c r="B30" s="2">
        <v>2.2000000000000002</v>
      </c>
      <c r="C30" s="7">
        <f ca="1">[1]!b_calc_curve_chinabond("1102",C$1,$B30)</f>
        <v>1.6322000000000001</v>
      </c>
      <c r="D30" s="7">
        <f ca="1">[1]!b_calc_curve_chinabond("1102",D$1,$B30)</f>
        <v>1.6311</v>
      </c>
      <c r="E30" s="7">
        <f ca="1">[1]!b_calc_curve_chinabond("1102",E$1,$B30)</f>
        <v>0</v>
      </c>
      <c r="F30" s="7">
        <f ca="1">[1]!b_calc_curve_chinabond("1102",F$1,$B30)</f>
        <v>0</v>
      </c>
      <c r="G30" s="7">
        <f ca="1">[1]!b_calc_curve_chinabond("1102",G$1,$B30)</f>
        <v>1.6231</v>
      </c>
      <c r="H30" s="7">
        <f ca="1">[1]!b_calc_curve_chinabond("1102",H$1,$B30)</f>
        <v>1.6136999999999999</v>
      </c>
      <c r="I30" s="7">
        <f ca="1">[1]!b_calc_curve_chinabond("1102",I$1,$B30)</f>
        <v>1.6025</v>
      </c>
      <c r="J30" s="7">
        <f ca="1">[1]!b_calc_curve_chinabond("1102",J$1,$B30)</f>
        <v>1.5933999999999999</v>
      </c>
      <c r="K30" s="7">
        <f ca="1">[1]!b_calc_curve_chinabond("1102",K$1,$B30)</f>
        <v>1.5911999999999999</v>
      </c>
      <c r="L30" s="7">
        <f ca="1">[1]!b_calc_curve_chinabond("1102",L$1,$B30)</f>
        <v>0</v>
      </c>
      <c r="M30" s="7">
        <f ca="1">[1]!b_calc_curve_chinabond("1102",M$1,$B30)</f>
        <v>0</v>
      </c>
      <c r="N30" s="7">
        <f ca="1">[1]!b_calc_curve_chinabond("1102",N$1,$B30)</f>
        <v>1.5775999999999999</v>
      </c>
      <c r="O30" s="7">
        <f ca="1">[1]!b_calc_curve_chinabond("1102",O$1,$B30)</f>
        <v>1.5711999999999999</v>
      </c>
      <c r="P30" s="7">
        <f ca="1">[1]!b_calc_curve_chinabond("1102",P$1,$B30)</f>
        <v>1.5769</v>
      </c>
      <c r="Q30" s="7">
        <f ca="1">[1]!b_calc_curve_chinabond("1102",Q$1,$B30)</f>
        <v>1.5769</v>
      </c>
      <c r="R30" s="7">
        <f ca="1">[1]!b_calc_curve_chinabond("1102",R$1,$B30)</f>
        <v>1.5791999999999999</v>
      </c>
      <c r="S30" s="7">
        <f ca="1">[1]!b_calc_curve_chinabond("1102",S$1,$B30)</f>
        <v>0</v>
      </c>
      <c r="T30" s="7">
        <f ca="1">[1]!b_calc_curve_chinabond("1102",T$1,$B30)</f>
        <v>0</v>
      </c>
      <c r="U30" s="7">
        <f ca="1">[1]!b_calc_curve_chinabond("1102",U$1,$B30)</f>
        <v>1.5844</v>
      </c>
      <c r="V30" s="7">
        <f ca="1">[1]!b_calc_curve_chinabond("1102",V$1,$B30)</f>
        <v>1.6086</v>
      </c>
      <c r="W30" s="7">
        <f ca="1">[1]!b_calc_curve_chinabond("1102",W$1,$B30)</f>
        <v>1.6289</v>
      </c>
      <c r="X30" s="7">
        <f ca="1">[1]!b_calc_curve_chinabond("1102",X$1,$B30)</f>
        <v>1.6545000000000001</v>
      </c>
      <c r="Y30" s="7">
        <f ca="1">[1]!b_calc_curve_chinabond("1102",Y$1,$B30)</f>
        <v>1.6493</v>
      </c>
      <c r="Z30" s="7">
        <f ca="1">[1]!b_calc_curve_chinabond("1102",Z$1,$B30)</f>
        <v>0</v>
      </c>
      <c r="AA30" s="7">
        <f ca="1">[1]!b_calc_curve_chinabond("1102",AA$1,$B30)</f>
        <v>0</v>
      </c>
      <c r="AB30" s="7">
        <f ca="1">[1]!b_calc_curve_chinabond("1102",AB$1,$B30)</f>
        <v>1.6484000000000001</v>
      </c>
      <c r="AC30" s="7">
        <f ca="1">[1]!b_calc_curve_chinabond("1102",AC$1,$B30)</f>
        <v>1.6369</v>
      </c>
      <c r="AD30" s="7">
        <f ca="1">[1]!b_calc_curve_chinabond("1102",AD$1,$B30)</f>
        <v>1.6168</v>
      </c>
      <c r="AE30" s="7">
        <f ca="1">[1]!b_calc_curve_chinabond("1102",AE$1,$B30)</f>
        <v>1.6103000000000001</v>
      </c>
      <c r="AF30" s="7">
        <f ca="1">[1]!b_calc_curve_chinabond("1102",AF$1,$B30)</f>
        <v>0</v>
      </c>
      <c r="AG30" s="7">
        <f ca="1">[1]!b_calc_curve_chinabond("1102",AG$1,$B30)</f>
        <v>0</v>
      </c>
      <c r="AH30" s="7">
        <f ca="1">[1]!b_calc_curve_chinabond("1102",AH$1,$B30)</f>
        <v>0</v>
      </c>
      <c r="AI30" s="7">
        <f ca="1">[1]!b_calc_curve_chinabond("1102",AI$1,$B30)</f>
        <v>0</v>
      </c>
    </row>
    <row r="31" spans="1:35" ht="19.5" customHeight="1">
      <c r="A31" s="3" t="s">
        <v>31</v>
      </c>
      <c r="B31" s="4">
        <v>2.2999999999999998</v>
      </c>
      <c r="C31" s="7">
        <f ca="1">[1]!b_calc_curve_chinabond("1102",C$1,$B31)</f>
        <v>1.6395999999999999</v>
      </c>
      <c r="D31" s="7">
        <f ca="1">[1]!b_calc_curve_chinabond("1102",D$1,$B31)</f>
        <v>1.6380999999999999</v>
      </c>
      <c r="E31" s="7">
        <f ca="1">[1]!b_calc_curve_chinabond("1102",E$1,$B31)</f>
        <v>0</v>
      </c>
      <c r="F31" s="7">
        <f ca="1">[1]!b_calc_curve_chinabond("1102",F$1,$B31)</f>
        <v>0</v>
      </c>
      <c r="G31" s="7">
        <f ca="1">[1]!b_calc_curve_chinabond("1102",G$1,$B31)</f>
        <v>1.6301000000000001</v>
      </c>
      <c r="H31" s="7">
        <f ca="1">[1]!b_calc_curve_chinabond("1102",H$1,$B31)</f>
        <v>1.6208</v>
      </c>
      <c r="I31" s="7">
        <f ca="1">[1]!b_calc_curve_chinabond("1102",I$1,$B31)</f>
        <v>1.61</v>
      </c>
      <c r="J31" s="7">
        <f ca="1">[1]!b_calc_curve_chinabond("1102",J$1,$B31)</f>
        <v>1.6005</v>
      </c>
      <c r="K31" s="7">
        <f ca="1">[1]!b_calc_curve_chinabond("1102",K$1,$B31)</f>
        <v>1.5983000000000001</v>
      </c>
      <c r="L31" s="7">
        <f ca="1">[1]!b_calc_curve_chinabond("1102",L$1,$B31)</f>
        <v>0</v>
      </c>
      <c r="M31" s="7">
        <f ca="1">[1]!b_calc_curve_chinabond("1102",M$1,$B31)</f>
        <v>0</v>
      </c>
      <c r="N31" s="7">
        <f ca="1">[1]!b_calc_curve_chinabond("1102",N$1,$B31)</f>
        <v>1.5846</v>
      </c>
      <c r="O31" s="7">
        <f ca="1">[1]!b_calc_curve_chinabond("1102",O$1,$B31)</f>
        <v>1.5770999999999999</v>
      </c>
      <c r="P31" s="7">
        <f ca="1">[1]!b_calc_curve_chinabond("1102",P$1,$B31)</f>
        <v>1.5831</v>
      </c>
      <c r="Q31" s="7">
        <f ca="1">[1]!b_calc_curve_chinabond("1102",Q$1,$B31)</f>
        <v>1.5829</v>
      </c>
      <c r="R31" s="7">
        <f ca="1">[1]!b_calc_curve_chinabond("1102",R$1,$B31)</f>
        <v>1.5851999999999999</v>
      </c>
      <c r="S31" s="7">
        <f ca="1">[1]!b_calc_curve_chinabond("1102",S$1,$B31)</f>
        <v>0</v>
      </c>
      <c r="T31" s="7">
        <f ca="1">[1]!b_calc_curve_chinabond("1102",T$1,$B31)</f>
        <v>0</v>
      </c>
      <c r="U31" s="7">
        <f ca="1">[1]!b_calc_curve_chinabond("1102",U$1,$B31)</f>
        <v>1.5913999999999999</v>
      </c>
      <c r="V31" s="7">
        <f ca="1">[1]!b_calc_curve_chinabond("1102",V$1,$B31)</f>
        <v>1.6143000000000001</v>
      </c>
      <c r="W31" s="7">
        <f ca="1">[1]!b_calc_curve_chinabond("1102",W$1,$B31)</f>
        <v>1.6348</v>
      </c>
      <c r="X31" s="7">
        <f ca="1">[1]!b_calc_curve_chinabond("1102",X$1,$B31)</f>
        <v>1.6603000000000001</v>
      </c>
      <c r="Y31" s="7">
        <f ca="1">[1]!b_calc_curve_chinabond("1102",Y$1,$B31)</f>
        <v>1.6563000000000001</v>
      </c>
      <c r="Z31" s="7">
        <f ca="1">[1]!b_calc_curve_chinabond("1102",Z$1,$B31)</f>
        <v>0</v>
      </c>
      <c r="AA31" s="7">
        <f ca="1">[1]!b_calc_curve_chinabond("1102",AA$1,$B31)</f>
        <v>0</v>
      </c>
      <c r="AB31" s="7">
        <f ca="1">[1]!b_calc_curve_chinabond("1102",AB$1,$B31)</f>
        <v>1.6552</v>
      </c>
      <c r="AC31" s="7">
        <f ca="1">[1]!b_calc_curve_chinabond("1102",AC$1,$B31)</f>
        <v>1.6442000000000001</v>
      </c>
      <c r="AD31" s="7">
        <f ca="1">[1]!b_calc_curve_chinabond("1102",AD$1,$B31)</f>
        <v>1.6245000000000001</v>
      </c>
      <c r="AE31" s="7">
        <f ca="1">[1]!b_calc_curve_chinabond("1102",AE$1,$B31)</f>
        <v>1.6175999999999999</v>
      </c>
      <c r="AF31" s="7">
        <f ca="1">[1]!b_calc_curve_chinabond("1102",AF$1,$B31)</f>
        <v>0</v>
      </c>
      <c r="AG31" s="7">
        <f ca="1">[1]!b_calc_curve_chinabond("1102",AG$1,$B31)</f>
        <v>0</v>
      </c>
      <c r="AH31" s="7">
        <f ca="1">[1]!b_calc_curve_chinabond("1102",AH$1,$B31)</f>
        <v>0</v>
      </c>
      <c r="AI31" s="7">
        <f ca="1">[1]!b_calc_curve_chinabond("1102",AI$1,$B31)</f>
        <v>0</v>
      </c>
    </row>
    <row r="32" spans="1:35" ht="19.5" customHeight="1">
      <c r="A32" s="1" t="s">
        <v>32</v>
      </c>
      <c r="B32" s="2">
        <v>2.4</v>
      </c>
      <c r="C32" s="7">
        <f ca="1">[1]!b_calc_curve_chinabond("1102",C$1,$B32)</f>
        <v>1.6453</v>
      </c>
      <c r="D32" s="7">
        <f ca="1">[1]!b_calc_curve_chinabond("1102",D$1,$B32)</f>
        <v>1.6435999999999999</v>
      </c>
      <c r="E32" s="7">
        <f ca="1">[1]!b_calc_curve_chinabond("1102",E$1,$B32)</f>
        <v>0</v>
      </c>
      <c r="F32" s="7">
        <f ca="1">[1]!b_calc_curve_chinabond("1102",F$1,$B32)</f>
        <v>0</v>
      </c>
      <c r="G32" s="7">
        <f ca="1">[1]!b_calc_curve_chinabond("1102",G$1,$B32)</f>
        <v>1.6356999999999999</v>
      </c>
      <c r="H32" s="7">
        <f ca="1">[1]!b_calc_curve_chinabond("1102",H$1,$B32)</f>
        <v>1.6268</v>
      </c>
      <c r="I32" s="7">
        <f ca="1">[1]!b_calc_curve_chinabond("1102",I$1,$B32)</f>
        <v>1.6165</v>
      </c>
      <c r="J32" s="7">
        <f ca="1">[1]!b_calc_curve_chinabond("1102",J$1,$B32)</f>
        <v>1.6064000000000001</v>
      </c>
      <c r="K32" s="7">
        <f ca="1">[1]!b_calc_curve_chinabond("1102",K$1,$B32)</f>
        <v>1.6040000000000001</v>
      </c>
      <c r="L32" s="7">
        <f ca="1">[1]!b_calc_curve_chinabond("1102",L$1,$B32)</f>
        <v>0</v>
      </c>
      <c r="M32" s="7">
        <f ca="1">[1]!b_calc_curve_chinabond("1102",M$1,$B32)</f>
        <v>0</v>
      </c>
      <c r="N32" s="7">
        <f ca="1">[1]!b_calc_curve_chinabond("1102",N$1,$B32)</f>
        <v>1.5908</v>
      </c>
      <c r="O32" s="7">
        <f ca="1">[1]!b_calc_curve_chinabond("1102",O$1,$B32)</f>
        <v>1.5826</v>
      </c>
      <c r="P32" s="7">
        <f ca="1">[1]!b_calc_curve_chinabond("1102",P$1,$B32)</f>
        <v>1.5883</v>
      </c>
      <c r="Q32" s="7">
        <f ca="1">[1]!b_calc_curve_chinabond("1102",Q$1,$B32)</f>
        <v>1.5880000000000001</v>
      </c>
      <c r="R32" s="7">
        <f ca="1">[1]!b_calc_curve_chinabond("1102",R$1,$B32)</f>
        <v>1.59</v>
      </c>
      <c r="S32" s="7">
        <f ca="1">[1]!b_calc_curve_chinabond("1102",S$1,$B32)</f>
        <v>0</v>
      </c>
      <c r="T32" s="7">
        <f ca="1">[1]!b_calc_curve_chinabond("1102",T$1,$B32)</f>
        <v>0</v>
      </c>
      <c r="U32" s="7">
        <f ca="1">[1]!b_calc_curve_chinabond("1102",U$1,$B32)</f>
        <v>1.5978000000000001</v>
      </c>
      <c r="V32" s="7">
        <f ca="1">[1]!b_calc_curve_chinabond("1102",V$1,$B32)</f>
        <v>1.6192</v>
      </c>
      <c r="W32" s="7">
        <f ca="1">[1]!b_calc_curve_chinabond("1102",W$1,$B32)</f>
        <v>1.6392</v>
      </c>
      <c r="X32" s="7">
        <f ca="1">[1]!b_calc_curve_chinabond("1102",X$1,$B32)</f>
        <v>1.6645000000000001</v>
      </c>
      <c r="Y32" s="7">
        <f ca="1">[1]!b_calc_curve_chinabond("1102",Y$1,$B32)</f>
        <v>1.6625000000000001</v>
      </c>
      <c r="Z32" s="7">
        <f ca="1">[1]!b_calc_curve_chinabond("1102",Z$1,$B32)</f>
        <v>0</v>
      </c>
      <c r="AA32" s="7">
        <f ca="1">[1]!b_calc_curve_chinabond("1102",AA$1,$B32)</f>
        <v>0</v>
      </c>
      <c r="AB32" s="7">
        <f ca="1">[1]!b_calc_curve_chinabond("1102",AB$1,$B32)</f>
        <v>1.6613</v>
      </c>
      <c r="AC32" s="7">
        <f ca="1">[1]!b_calc_curve_chinabond("1102",AC$1,$B32)</f>
        <v>1.6512</v>
      </c>
      <c r="AD32" s="7">
        <f ca="1">[1]!b_calc_curve_chinabond("1102",AD$1,$B32)</f>
        <v>1.6322000000000001</v>
      </c>
      <c r="AE32" s="7">
        <f ca="1">[1]!b_calc_curve_chinabond("1102",AE$1,$B32)</f>
        <v>1.6246</v>
      </c>
      <c r="AF32" s="7">
        <f ca="1">[1]!b_calc_curve_chinabond("1102",AF$1,$B32)</f>
        <v>0</v>
      </c>
      <c r="AG32" s="7">
        <f ca="1">[1]!b_calc_curve_chinabond("1102",AG$1,$B32)</f>
        <v>0</v>
      </c>
      <c r="AH32" s="7">
        <f ca="1">[1]!b_calc_curve_chinabond("1102",AH$1,$B32)</f>
        <v>0</v>
      </c>
      <c r="AI32" s="7">
        <f ca="1">[1]!b_calc_curve_chinabond("1102",AI$1,$B32)</f>
        <v>0</v>
      </c>
    </row>
    <row r="33" spans="1:35" ht="19.5" customHeight="1">
      <c r="A33" s="3" t="s">
        <v>33</v>
      </c>
      <c r="B33" s="4">
        <v>2.5</v>
      </c>
      <c r="C33" s="7">
        <f ca="1">[1]!b_calc_curve_chinabond("1102",C$1,$B33)</f>
        <v>1.6498999999999999</v>
      </c>
      <c r="D33" s="7">
        <f ca="1">[1]!b_calc_curve_chinabond("1102",D$1,$B33)</f>
        <v>1.6478999999999999</v>
      </c>
      <c r="E33" s="7">
        <f ca="1">[1]!b_calc_curve_chinabond("1102",E$1,$B33)</f>
        <v>0</v>
      </c>
      <c r="F33" s="7">
        <f ca="1">[1]!b_calc_curve_chinabond("1102",F$1,$B33)</f>
        <v>0</v>
      </c>
      <c r="G33" s="7">
        <f ca="1">[1]!b_calc_curve_chinabond("1102",G$1,$B33)</f>
        <v>1.6403000000000001</v>
      </c>
      <c r="H33" s="7">
        <f ca="1">[1]!b_calc_curve_chinabond("1102",H$1,$B33)</f>
        <v>1.6318999999999999</v>
      </c>
      <c r="I33" s="7">
        <f ca="1">[1]!b_calc_curve_chinabond("1102",I$1,$B33)</f>
        <v>1.6222000000000001</v>
      </c>
      <c r="J33" s="7">
        <f ca="1">[1]!b_calc_curve_chinabond("1102",J$1,$B33)</f>
        <v>1.6114999999999999</v>
      </c>
      <c r="K33" s="7">
        <f ca="1">[1]!b_calc_curve_chinabond("1102",K$1,$B33)</f>
        <v>1.6089</v>
      </c>
      <c r="L33" s="7">
        <f ca="1">[1]!b_calc_curve_chinabond("1102",L$1,$B33)</f>
        <v>0</v>
      </c>
      <c r="M33" s="7">
        <f ca="1">[1]!b_calc_curve_chinabond("1102",M$1,$B33)</f>
        <v>0</v>
      </c>
      <c r="N33" s="7">
        <f ca="1">[1]!b_calc_curve_chinabond("1102",N$1,$B33)</f>
        <v>1.5965</v>
      </c>
      <c r="O33" s="7">
        <f ca="1">[1]!b_calc_curve_chinabond("1102",O$1,$B33)</f>
        <v>1.5879000000000001</v>
      </c>
      <c r="P33" s="7">
        <f ca="1">[1]!b_calc_curve_chinabond("1102",P$1,$B33)</f>
        <v>1.5928</v>
      </c>
      <c r="Q33" s="7">
        <f ca="1">[1]!b_calc_curve_chinabond("1102",Q$1,$B33)</f>
        <v>1.5923</v>
      </c>
      <c r="R33" s="7">
        <f ca="1">[1]!b_calc_curve_chinabond("1102",R$1,$B33)</f>
        <v>1.5939000000000001</v>
      </c>
      <c r="S33" s="7">
        <f ca="1">[1]!b_calc_curve_chinabond("1102",S$1,$B33)</f>
        <v>0</v>
      </c>
      <c r="T33" s="7">
        <f ca="1">[1]!b_calc_curve_chinabond("1102",T$1,$B33)</f>
        <v>0</v>
      </c>
      <c r="U33" s="7">
        <f ca="1">[1]!b_calc_curve_chinabond("1102",U$1,$B33)</f>
        <v>1.6037999999999999</v>
      </c>
      <c r="V33" s="7">
        <f ca="1">[1]!b_calc_curve_chinabond("1102",V$1,$B33)</f>
        <v>1.6235999999999999</v>
      </c>
      <c r="W33" s="7">
        <f ca="1">[1]!b_calc_curve_chinabond("1102",W$1,$B33)</f>
        <v>1.6426000000000001</v>
      </c>
      <c r="X33" s="7">
        <f ca="1">[1]!b_calc_curve_chinabond("1102",X$1,$B33)</f>
        <v>1.6677</v>
      </c>
      <c r="Y33" s="7">
        <f ca="1">[1]!b_calc_curve_chinabond("1102",Y$1,$B33)</f>
        <v>1.6681999999999999</v>
      </c>
      <c r="Z33" s="7">
        <f ca="1">[1]!b_calc_curve_chinabond("1102",Z$1,$B33)</f>
        <v>0</v>
      </c>
      <c r="AA33" s="7">
        <f ca="1">[1]!b_calc_curve_chinabond("1102",AA$1,$B33)</f>
        <v>0</v>
      </c>
      <c r="AB33" s="7">
        <f ca="1">[1]!b_calc_curve_chinabond("1102",AB$1,$B33)</f>
        <v>1.6671</v>
      </c>
      <c r="AC33" s="7">
        <f ca="1">[1]!b_calc_curve_chinabond("1102",AC$1,$B33)</f>
        <v>1.6578999999999999</v>
      </c>
      <c r="AD33" s="7">
        <f ca="1">[1]!b_calc_curve_chinabond("1102",AD$1,$B33)</f>
        <v>1.64</v>
      </c>
      <c r="AE33" s="7">
        <f ca="1">[1]!b_calc_curve_chinabond("1102",AE$1,$B33)</f>
        <v>1.6315</v>
      </c>
      <c r="AF33" s="7">
        <f ca="1">[1]!b_calc_curve_chinabond("1102",AF$1,$B33)</f>
        <v>0</v>
      </c>
      <c r="AG33" s="7">
        <f ca="1">[1]!b_calc_curve_chinabond("1102",AG$1,$B33)</f>
        <v>0</v>
      </c>
      <c r="AH33" s="7">
        <f ca="1">[1]!b_calc_curve_chinabond("1102",AH$1,$B33)</f>
        <v>0</v>
      </c>
      <c r="AI33" s="7">
        <f ca="1">[1]!b_calc_curve_chinabond("1102",AI$1,$B33)</f>
        <v>0</v>
      </c>
    </row>
    <row r="34" spans="1:35" ht="19.5" customHeight="1">
      <c r="A34" s="1" t="s">
        <v>34</v>
      </c>
      <c r="B34" s="2">
        <v>2.6</v>
      </c>
      <c r="C34" s="7">
        <f ca="1">[1]!b_calc_curve_chinabond("1102",C$1,$B34)</f>
        <v>1.6537999999999999</v>
      </c>
      <c r="D34" s="7">
        <f ca="1">[1]!b_calc_curve_chinabond("1102",D$1,$B34)</f>
        <v>1.6515</v>
      </c>
      <c r="E34" s="7">
        <f ca="1">[1]!b_calc_curve_chinabond("1102",E$1,$B34)</f>
        <v>0</v>
      </c>
      <c r="F34" s="7">
        <f ca="1">[1]!b_calc_curve_chinabond("1102",F$1,$B34)</f>
        <v>0</v>
      </c>
      <c r="G34" s="7">
        <f ca="1">[1]!b_calc_curve_chinabond("1102",G$1,$B34)</f>
        <v>1.6440999999999999</v>
      </c>
      <c r="H34" s="7">
        <f ca="1">[1]!b_calc_curve_chinabond("1102",H$1,$B34)</f>
        <v>1.6364000000000001</v>
      </c>
      <c r="I34" s="7">
        <f ca="1">[1]!b_calc_curve_chinabond("1102",I$1,$B34)</f>
        <v>1.6274</v>
      </c>
      <c r="J34" s="7">
        <f ca="1">[1]!b_calc_curve_chinabond("1102",J$1,$B34)</f>
        <v>1.6162000000000001</v>
      </c>
      <c r="K34" s="7">
        <f ca="1">[1]!b_calc_curve_chinabond("1102",K$1,$B34)</f>
        <v>1.6132</v>
      </c>
      <c r="L34" s="7">
        <f ca="1">[1]!b_calc_curve_chinabond("1102",L$1,$B34)</f>
        <v>0</v>
      </c>
      <c r="M34" s="7">
        <f ca="1">[1]!b_calc_curve_chinabond("1102",M$1,$B34)</f>
        <v>0</v>
      </c>
      <c r="N34" s="7">
        <f ca="1">[1]!b_calc_curve_chinabond("1102",N$1,$B34)</f>
        <v>1.6016999999999999</v>
      </c>
      <c r="O34" s="7">
        <f ca="1">[1]!b_calc_curve_chinabond("1102",O$1,$B34)</f>
        <v>1.5931</v>
      </c>
      <c r="P34" s="7">
        <f ca="1">[1]!b_calc_curve_chinabond("1102",P$1,$B34)</f>
        <v>1.5967</v>
      </c>
      <c r="Q34" s="7">
        <f ca="1">[1]!b_calc_curve_chinabond("1102",Q$1,$B34)</f>
        <v>1.5962000000000001</v>
      </c>
      <c r="R34" s="7">
        <f ca="1">[1]!b_calc_curve_chinabond("1102",R$1,$B34)</f>
        <v>1.5972</v>
      </c>
      <c r="S34" s="7">
        <f ca="1">[1]!b_calc_curve_chinabond("1102",S$1,$B34)</f>
        <v>0</v>
      </c>
      <c r="T34" s="7">
        <f ca="1">[1]!b_calc_curve_chinabond("1102",T$1,$B34)</f>
        <v>0</v>
      </c>
      <c r="U34" s="7">
        <f ca="1">[1]!b_calc_curve_chinabond("1102",U$1,$B34)</f>
        <v>1.6093999999999999</v>
      </c>
      <c r="V34" s="7">
        <f ca="1">[1]!b_calc_curve_chinabond("1102",V$1,$B34)</f>
        <v>1.6277999999999999</v>
      </c>
      <c r="W34" s="7">
        <f ca="1">[1]!b_calc_curve_chinabond("1102",W$1,$B34)</f>
        <v>1.6453</v>
      </c>
      <c r="X34" s="7">
        <f ca="1">[1]!b_calc_curve_chinabond("1102",X$1,$B34)</f>
        <v>1.6701999999999999</v>
      </c>
      <c r="Y34" s="7">
        <f ca="1">[1]!b_calc_curve_chinabond("1102",Y$1,$B34)</f>
        <v>1.6735</v>
      </c>
      <c r="Z34" s="7">
        <f ca="1">[1]!b_calc_curve_chinabond("1102",Z$1,$B34)</f>
        <v>0</v>
      </c>
      <c r="AA34" s="7">
        <f ca="1">[1]!b_calc_curve_chinabond("1102",AA$1,$B34)</f>
        <v>0</v>
      </c>
      <c r="AB34" s="7">
        <f ca="1">[1]!b_calc_curve_chinabond("1102",AB$1,$B34)</f>
        <v>1.6725000000000001</v>
      </c>
      <c r="AC34" s="7">
        <f ca="1">[1]!b_calc_curve_chinabond("1102",AC$1,$B34)</f>
        <v>1.6645000000000001</v>
      </c>
      <c r="AD34" s="7">
        <f ca="1">[1]!b_calc_curve_chinabond("1102",AD$1,$B34)</f>
        <v>1.6478999999999999</v>
      </c>
      <c r="AE34" s="7">
        <f ca="1">[1]!b_calc_curve_chinabond("1102",AE$1,$B34)</f>
        <v>1.6382000000000001</v>
      </c>
      <c r="AF34" s="7">
        <f ca="1">[1]!b_calc_curve_chinabond("1102",AF$1,$B34)</f>
        <v>0</v>
      </c>
      <c r="AG34" s="7">
        <f ca="1">[1]!b_calc_curve_chinabond("1102",AG$1,$B34)</f>
        <v>0</v>
      </c>
      <c r="AH34" s="7">
        <f ca="1">[1]!b_calc_curve_chinabond("1102",AH$1,$B34)</f>
        <v>0</v>
      </c>
      <c r="AI34" s="7">
        <f ca="1">[1]!b_calc_curve_chinabond("1102",AI$1,$B34)</f>
        <v>0</v>
      </c>
    </row>
    <row r="35" spans="1:35" ht="19.5" customHeight="1">
      <c r="A35" s="3" t="s">
        <v>35</v>
      </c>
      <c r="B35" s="4">
        <v>2.7</v>
      </c>
      <c r="C35" s="7">
        <f ca="1">[1]!b_calc_curve_chinabond("1102",C$1,$B35)</f>
        <v>1.6574</v>
      </c>
      <c r="D35" s="7">
        <f ca="1">[1]!b_calc_curve_chinabond("1102",D$1,$B35)</f>
        <v>1.6549</v>
      </c>
      <c r="E35" s="7">
        <f ca="1">[1]!b_calc_curve_chinabond("1102",E$1,$B35)</f>
        <v>0</v>
      </c>
      <c r="F35" s="7">
        <f ca="1">[1]!b_calc_curve_chinabond("1102",F$1,$B35)</f>
        <v>0</v>
      </c>
      <c r="G35" s="7">
        <f ca="1">[1]!b_calc_curve_chinabond("1102",G$1,$B35)</f>
        <v>1.6477999999999999</v>
      </c>
      <c r="H35" s="7">
        <f ca="1">[1]!b_calc_curve_chinabond("1102",H$1,$B35)</f>
        <v>1.6407</v>
      </c>
      <c r="I35" s="7">
        <f ca="1">[1]!b_calc_curve_chinabond("1102",I$1,$B35)</f>
        <v>1.6324000000000001</v>
      </c>
      <c r="J35" s="7">
        <f ca="1">[1]!b_calc_curve_chinabond("1102",J$1,$B35)</f>
        <v>1.6206</v>
      </c>
      <c r="K35" s="7">
        <f ca="1">[1]!b_calc_curve_chinabond("1102",K$1,$B35)</f>
        <v>1.6172</v>
      </c>
      <c r="L35" s="7">
        <f ca="1">[1]!b_calc_curve_chinabond("1102",L$1,$B35)</f>
        <v>0</v>
      </c>
      <c r="M35" s="7">
        <f ca="1">[1]!b_calc_curve_chinabond("1102",M$1,$B35)</f>
        <v>0</v>
      </c>
      <c r="N35" s="7">
        <f ca="1">[1]!b_calc_curve_chinabond("1102",N$1,$B35)</f>
        <v>1.6068</v>
      </c>
      <c r="O35" s="7">
        <f ca="1">[1]!b_calc_curve_chinabond("1102",O$1,$B35)</f>
        <v>1.5983000000000001</v>
      </c>
      <c r="P35" s="7">
        <f ca="1">[1]!b_calc_curve_chinabond("1102",P$1,$B35)</f>
        <v>1.6005</v>
      </c>
      <c r="Q35" s="7">
        <f ca="1">[1]!b_calc_curve_chinabond("1102",Q$1,$B35)</f>
        <v>1.5999000000000001</v>
      </c>
      <c r="R35" s="7">
        <f ca="1">[1]!b_calc_curve_chinabond("1102",R$1,$B35)</f>
        <v>1.6002000000000001</v>
      </c>
      <c r="S35" s="7">
        <f ca="1">[1]!b_calc_curve_chinabond("1102",S$1,$B35)</f>
        <v>0</v>
      </c>
      <c r="T35" s="7">
        <f ca="1">[1]!b_calc_curve_chinabond("1102",T$1,$B35)</f>
        <v>0</v>
      </c>
      <c r="U35" s="7">
        <f ca="1">[1]!b_calc_curve_chinabond("1102",U$1,$B35)</f>
        <v>1.6151</v>
      </c>
      <c r="V35" s="7">
        <f ca="1">[1]!b_calc_curve_chinabond("1102",V$1,$B35)</f>
        <v>1.6318999999999999</v>
      </c>
      <c r="W35" s="7">
        <f ca="1">[1]!b_calc_curve_chinabond("1102",W$1,$B35)</f>
        <v>1.6477999999999999</v>
      </c>
      <c r="X35" s="7">
        <f ca="1">[1]!b_calc_curve_chinabond("1102",X$1,$B35)</f>
        <v>1.6725000000000001</v>
      </c>
      <c r="Y35" s="7">
        <f ca="1">[1]!b_calc_curve_chinabond("1102",Y$1,$B35)</f>
        <v>1.6787000000000001</v>
      </c>
      <c r="Z35" s="7">
        <f ca="1">[1]!b_calc_curve_chinabond("1102",Z$1,$B35)</f>
        <v>0</v>
      </c>
      <c r="AA35" s="7">
        <f ca="1">[1]!b_calc_curve_chinabond("1102",AA$1,$B35)</f>
        <v>0</v>
      </c>
      <c r="AB35" s="7">
        <f ca="1">[1]!b_calc_curve_chinabond("1102",AB$1,$B35)</f>
        <v>1.6778</v>
      </c>
      <c r="AC35" s="7">
        <f ca="1">[1]!b_calc_curve_chinabond("1102",AC$1,$B35)</f>
        <v>1.671</v>
      </c>
      <c r="AD35" s="7">
        <f ca="1">[1]!b_calc_curve_chinabond("1102",AD$1,$B35)</f>
        <v>1.6557999999999999</v>
      </c>
      <c r="AE35" s="7">
        <f ca="1">[1]!b_calc_curve_chinabond("1102",AE$1,$B35)</f>
        <v>1.645</v>
      </c>
      <c r="AF35" s="7">
        <f ca="1">[1]!b_calc_curve_chinabond("1102",AF$1,$B35)</f>
        <v>0</v>
      </c>
      <c r="AG35" s="7">
        <f ca="1">[1]!b_calc_curve_chinabond("1102",AG$1,$B35)</f>
        <v>0</v>
      </c>
      <c r="AH35" s="7">
        <f ca="1">[1]!b_calc_curve_chinabond("1102",AH$1,$B35)</f>
        <v>0</v>
      </c>
      <c r="AI35" s="7">
        <f ca="1">[1]!b_calc_curve_chinabond("1102",AI$1,$B35)</f>
        <v>0</v>
      </c>
    </row>
    <row r="36" spans="1:35" ht="19.5" customHeight="1">
      <c r="A36" s="1" t="s">
        <v>36</v>
      </c>
      <c r="B36" s="2">
        <v>2.8</v>
      </c>
      <c r="C36" s="7">
        <f ca="1">[1]!b_calc_curve_chinabond("1102",C$1,$B36)</f>
        <v>1.6611</v>
      </c>
      <c r="D36" s="7">
        <f ca="1">[1]!b_calc_curve_chinabond("1102",D$1,$B36)</f>
        <v>1.6584000000000001</v>
      </c>
      <c r="E36" s="7">
        <f ca="1">[1]!b_calc_curve_chinabond("1102",E$1,$B36)</f>
        <v>0</v>
      </c>
      <c r="F36" s="7">
        <f ca="1">[1]!b_calc_curve_chinabond("1102",F$1,$B36)</f>
        <v>0</v>
      </c>
      <c r="G36" s="7">
        <f ca="1">[1]!b_calc_curve_chinabond("1102",G$1,$B36)</f>
        <v>1.6515</v>
      </c>
      <c r="H36" s="7">
        <f ca="1">[1]!b_calc_curve_chinabond("1102",H$1,$B36)</f>
        <v>1.6452</v>
      </c>
      <c r="I36" s="7">
        <f ca="1">[1]!b_calc_curve_chinabond("1102",I$1,$B36)</f>
        <v>1.6374</v>
      </c>
      <c r="J36" s="7">
        <f ca="1">[1]!b_calc_curve_chinabond("1102",J$1,$B36)</f>
        <v>1.6252</v>
      </c>
      <c r="K36" s="7">
        <f ca="1">[1]!b_calc_curve_chinabond("1102",K$1,$B36)</f>
        <v>1.6214</v>
      </c>
      <c r="L36" s="7">
        <f ca="1">[1]!b_calc_curve_chinabond("1102",L$1,$B36)</f>
        <v>0</v>
      </c>
      <c r="M36" s="7">
        <f ca="1">[1]!b_calc_curve_chinabond("1102",M$1,$B36)</f>
        <v>0</v>
      </c>
      <c r="N36" s="7">
        <f ca="1">[1]!b_calc_curve_chinabond("1102",N$1,$B36)</f>
        <v>1.6120000000000001</v>
      </c>
      <c r="O36" s="7">
        <f ca="1">[1]!b_calc_curve_chinabond("1102",O$1,$B36)</f>
        <v>1.6036999999999999</v>
      </c>
      <c r="P36" s="7">
        <f ca="1">[1]!b_calc_curve_chinabond("1102",P$1,$B36)</f>
        <v>1.6043000000000001</v>
      </c>
      <c r="Q36" s="7">
        <f ca="1">[1]!b_calc_curve_chinabond("1102",Q$1,$B36)</f>
        <v>1.6036999999999999</v>
      </c>
      <c r="R36" s="7">
        <f ca="1">[1]!b_calc_curve_chinabond("1102",R$1,$B36)</f>
        <v>1.6033999999999999</v>
      </c>
      <c r="S36" s="7">
        <f ca="1">[1]!b_calc_curve_chinabond("1102",S$1,$B36)</f>
        <v>0</v>
      </c>
      <c r="T36" s="7">
        <f ca="1">[1]!b_calc_curve_chinabond("1102",T$1,$B36)</f>
        <v>0</v>
      </c>
      <c r="U36" s="7">
        <f ca="1">[1]!b_calc_curve_chinabond("1102",U$1,$B36)</f>
        <v>1.6208</v>
      </c>
      <c r="V36" s="7">
        <f ca="1">[1]!b_calc_curve_chinabond("1102",V$1,$B36)</f>
        <v>1.6361000000000001</v>
      </c>
      <c r="W36" s="7">
        <f ca="1">[1]!b_calc_curve_chinabond("1102",W$1,$B36)</f>
        <v>1.6504000000000001</v>
      </c>
      <c r="X36" s="7">
        <f ca="1">[1]!b_calc_curve_chinabond("1102",X$1,$B36)</f>
        <v>1.6749000000000001</v>
      </c>
      <c r="Y36" s="7">
        <f ca="1">[1]!b_calc_curve_chinabond("1102",Y$1,$B36)</f>
        <v>1.6839999999999999</v>
      </c>
      <c r="Z36" s="7">
        <f ca="1">[1]!b_calc_curve_chinabond("1102",Z$1,$B36)</f>
        <v>0</v>
      </c>
      <c r="AA36" s="7">
        <f ca="1">[1]!b_calc_curve_chinabond("1102",AA$1,$B36)</f>
        <v>0</v>
      </c>
      <c r="AB36" s="7">
        <f ca="1">[1]!b_calc_curve_chinabond("1102",AB$1,$B36)</f>
        <v>1.6832</v>
      </c>
      <c r="AC36" s="7">
        <f ca="1">[1]!b_calc_curve_chinabond("1102",AC$1,$B36)</f>
        <v>1.6776</v>
      </c>
      <c r="AD36" s="7">
        <f ca="1">[1]!b_calc_curve_chinabond("1102",AD$1,$B36)</f>
        <v>1.6636</v>
      </c>
      <c r="AE36" s="7">
        <f ca="1">[1]!b_calc_curve_chinabond("1102",AE$1,$B36)</f>
        <v>1.6516999999999999</v>
      </c>
      <c r="AF36" s="7">
        <f ca="1">[1]!b_calc_curve_chinabond("1102",AF$1,$B36)</f>
        <v>0</v>
      </c>
      <c r="AG36" s="7">
        <f ca="1">[1]!b_calc_curve_chinabond("1102",AG$1,$B36)</f>
        <v>0</v>
      </c>
      <c r="AH36" s="7">
        <f ca="1">[1]!b_calc_curve_chinabond("1102",AH$1,$B36)</f>
        <v>0</v>
      </c>
      <c r="AI36" s="7">
        <f ca="1">[1]!b_calc_curve_chinabond("1102",AI$1,$B36)</f>
        <v>0</v>
      </c>
    </row>
    <row r="37" spans="1:35" ht="19.5" customHeight="1">
      <c r="A37" s="3" t="s">
        <v>37</v>
      </c>
      <c r="B37" s="4">
        <v>2.9</v>
      </c>
      <c r="C37" s="7">
        <f ca="1">[1]!b_calc_curve_chinabond("1102",C$1,$B37)</f>
        <v>1.6654</v>
      </c>
      <c r="D37" s="7">
        <f ca="1">[1]!b_calc_curve_chinabond("1102",D$1,$B37)</f>
        <v>1.6624000000000001</v>
      </c>
      <c r="E37" s="7">
        <f ca="1">[1]!b_calc_curve_chinabond("1102",E$1,$B37)</f>
        <v>0</v>
      </c>
      <c r="F37" s="7">
        <f ca="1">[1]!b_calc_curve_chinabond("1102",F$1,$B37)</f>
        <v>0</v>
      </c>
      <c r="G37" s="7">
        <f ca="1">[1]!b_calc_curve_chinabond("1102",G$1,$B37)</f>
        <v>1.6557999999999999</v>
      </c>
      <c r="H37" s="7">
        <f ca="1">[1]!b_calc_curve_chinabond("1102",H$1,$B37)</f>
        <v>1.65</v>
      </c>
      <c r="I37" s="7">
        <f ca="1">[1]!b_calc_curve_chinabond("1102",I$1,$B37)</f>
        <v>1.6429</v>
      </c>
      <c r="J37" s="7">
        <f ca="1">[1]!b_calc_curve_chinabond("1102",J$1,$B37)</f>
        <v>1.6302000000000001</v>
      </c>
      <c r="K37" s="7">
        <f ca="1">[1]!b_calc_curve_chinabond("1102",K$1,$B37)</f>
        <v>1.6261000000000001</v>
      </c>
      <c r="L37" s="7">
        <f ca="1">[1]!b_calc_curve_chinabond("1102",L$1,$B37)</f>
        <v>0</v>
      </c>
      <c r="M37" s="7">
        <f ca="1">[1]!b_calc_curve_chinabond("1102",M$1,$B37)</f>
        <v>0</v>
      </c>
      <c r="N37" s="7">
        <f ca="1">[1]!b_calc_curve_chinabond("1102",N$1,$B37)</f>
        <v>1.6174999999999999</v>
      </c>
      <c r="O37" s="7">
        <f ca="1">[1]!b_calc_curve_chinabond("1102",O$1,$B37)</f>
        <v>1.6094999999999999</v>
      </c>
      <c r="P37" s="7">
        <f ca="1">[1]!b_calc_curve_chinabond("1102",P$1,$B37)</f>
        <v>1.6085</v>
      </c>
      <c r="Q37" s="7">
        <f ca="1">[1]!b_calc_curve_chinabond("1102",Q$1,$B37)</f>
        <v>1.6077999999999999</v>
      </c>
      <c r="R37" s="7">
        <f ca="1">[1]!b_calc_curve_chinabond("1102",R$1,$B37)</f>
        <v>1.6071</v>
      </c>
      <c r="S37" s="7">
        <f ca="1">[1]!b_calc_curve_chinabond("1102",S$1,$B37)</f>
        <v>0</v>
      </c>
      <c r="T37" s="7">
        <f ca="1">[1]!b_calc_curve_chinabond("1102",T$1,$B37)</f>
        <v>0</v>
      </c>
      <c r="U37" s="7">
        <f ca="1">[1]!b_calc_curve_chinabond("1102",U$1,$B37)</f>
        <v>1.6269</v>
      </c>
      <c r="V37" s="7">
        <f ca="1">[1]!b_calc_curve_chinabond("1102",V$1,$B37)</f>
        <v>1.6408</v>
      </c>
      <c r="W37" s="7">
        <f ca="1">[1]!b_calc_curve_chinabond("1102",W$1,$B37)</f>
        <v>1.6535</v>
      </c>
      <c r="X37" s="7">
        <f ca="1">[1]!b_calc_curve_chinabond("1102",X$1,$B37)</f>
        <v>1.6778</v>
      </c>
      <c r="Y37" s="7">
        <f ca="1">[1]!b_calc_curve_chinabond("1102",Y$1,$B37)</f>
        <v>1.6895</v>
      </c>
      <c r="Z37" s="7">
        <f ca="1">[1]!b_calc_curve_chinabond("1102",Z$1,$B37)</f>
        <v>0</v>
      </c>
      <c r="AA37" s="7">
        <f ca="1">[1]!b_calc_curve_chinabond("1102",AA$1,$B37)</f>
        <v>0</v>
      </c>
      <c r="AB37" s="7">
        <f ca="1">[1]!b_calc_curve_chinabond("1102",AB$1,$B37)</f>
        <v>1.6888000000000001</v>
      </c>
      <c r="AC37" s="7">
        <f ca="1">[1]!b_calc_curve_chinabond("1102",AC$1,$B37)</f>
        <v>1.6842999999999999</v>
      </c>
      <c r="AD37" s="7">
        <f ca="1">[1]!b_calc_curve_chinabond("1102",AD$1,$B37)</f>
        <v>1.6715</v>
      </c>
      <c r="AE37" s="7">
        <f ca="1">[1]!b_calc_curve_chinabond("1102",AE$1,$B37)</f>
        <v>1.6586000000000001</v>
      </c>
      <c r="AF37" s="7">
        <f ca="1">[1]!b_calc_curve_chinabond("1102",AF$1,$B37)</f>
        <v>0</v>
      </c>
      <c r="AG37" s="7">
        <f ca="1">[1]!b_calc_curve_chinabond("1102",AG$1,$B37)</f>
        <v>0</v>
      </c>
      <c r="AH37" s="7">
        <f ca="1">[1]!b_calc_curve_chinabond("1102",AH$1,$B37)</f>
        <v>0</v>
      </c>
      <c r="AI37" s="7">
        <f ca="1">[1]!b_calc_curve_chinabond("1102",AI$1,$B37)</f>
        <v>0</v>
      </c>
    </row>
    <row r="38" spans="1:35" ht="19.5" customHeight="1">
      <c r="A38" s="1" t="s">
        <v>38</v>
      </c>
      <c r="B38" s="2">
        <v>3</v>
      </c>
      <c r="C38" s="7">
        <f ca="1">[1]!b_calc_curve_chinabond("1102",C$1,$B38)</f>
        <v>1.6707000000000001</v>
      </c>
      <c r="D38" s="7">
        <f ca="1">[1]!b_calc_curve_chinabond("1102",D$1,$B38)</f>
        <v>1.6674</v>
      </c>
      <c r="E38" s="7">
        <f ca="1">[1]!b_calc_curve_chinabond("1102",E$1,$B38)</f>
        <v>0</v>
      </c>
      <c r="F38" s="7">
        <f ca="1">[1]!b_calc_curve_chinabond("1102",F$1,$B38)</f>
        <v>0</v>
      </c>
      <c r="G38" s="7">
        <f ca="1">[1]!b_calc_curve_chinabond("1102",G$1,$B38)</f>
        <v>1.661</v>
      </c>
      <c r="H38" s="7">
        <f ca="1">[1]!b_calc_curve_chinabond("1102",H$1,$B38)</f>
        <v>1.6556999999999999</v>
      </c>
      <c r="I38" s="7">
        <f ca="1">[1]!b_calc_curve_chinabond("1102",I$1,$B38)</f>
        <v>1.6491</v>
      </c>
      <c r="J38" s="7">
        <f ca="1">[1]!b_calc_curve_chinabond("1102",J$1,$B38)</f>
        <v>1.6359999999999999</v>
      </c>
      <c r="K38" s="7">
        <f ca="1">[1]!b_calc_curve_chinabond("1102",K$1,$B38)</f>
        <v>1.6315</v>
      </c>
      <c r="L38" s="7">
        <f ca="1">[1]!b_calc_curve_chinabond("1102",L$1,$B38)</f>
        <v>0</v>
      </c>
      <c r="M38" s="7">
        <f ca="1">[1]!b_calc_curve_chinabond("1102",M$1,$B38)</f>
        <v>0</v>
      </c>
      <c r="N38" s="7">
        <f ca="1">[1]!b_calc_curve_chinabond("1102",N$1,$B38)</f>
        <v>1.6234999999999999</v>
      </c>
      <c r="O38" s="7">
        <f ca="1">[1]!b_calc_curve_chinabond("1102",O$1,$B38)</f>
        <v>1.6157999999999999</v>
      </c>
      <c r="P38" s="7">
        <f ca="1">[1]!b_calc_curve_chinabond("1102",P$1,$B38)</f>
        <v>1.6133999999999999</v>
      </c>
      <c r="Q38" s="7">
        <f ca="1">[1]!b_calc_curve_chinabond("1102",Q$1,$B38)</f>
        <v>1.6126</v>
      </c>
      <c r="R38" s="7">
        <f ca="1">[1]!b_calc_curve_chinabond("1102",R$1,$B38)</f>
        <v>1.6114999999999999</v>
      </c>
      <c r="S38" s="7">
        <f ca="1">[1]!b_calc_curve_chinabond("1102",S$1,$B38)</f>
        <v>0</v>
      </c>
      <c r="T38" s="7">
        <f ca="1">[1]!b_calc_curve_chinabond("1102",T$1,$B38)</f>
        <v>0</v>
      </c>
      <c r="U38" s="7">
        <f ca="1">[1]!b_calc_curve_chinabond("1102",U$1,$B38)</f>
        <v>1.6333</v>
      </c>
      <c r="V38" s="7">
        <f ca="1">[1]!b_calc_curve_chinabond("1102",V$1,$B38)</f>
        <v>1.6462000000000001</v>
      </c>
      <c r="W38" s="7">
        <f ca="1">[1]!b_calc_curve_chinabond("1102",W$1,$B38)</f>
        <v>1.6576</v>
      </c>
      <c r="X38" s="7">
        <f ca="1">[1]!b_calc_curve_chinabond("1102",X$1,$B38)</f>
        <v>1.6817</v>
      </c>
      <c r="Y38" s="7">
        <f ca="1">[1]!b_calc_curve_chinabond("1102",Y$1,$B38)</f>
        <v>1.6955</v>
      </c>
      <c r="Z38" s="7">
        <f ca="1">[1]!b_calc_curve_chinabond("1102",Z$1,$B38)</f>
        <v>0</v>
      </c>
      <c r="AA38" s="7">
        <f ca="1">[1]!b_calc_curve_chinabond("1102",AA$1,$B38)</f>
        <v>0</v>
      </c>
      <c r="AB38" s="7">
        <f ca="1">[1]!b_calc_curve_chinabond("1102",AB$1,$B38)</f>
        <v>1.6948000000000001</v>
      </c>
      <c r="AC38" s="7">
        <f ca="1">[1]!b_calc_curve_chinabond("1102",AC$1,$B38)</f>
        <v>1.6911</v>
      </c>
      <c r="AD38" s="7">
        <f ca="1">[1]!b_calc_curve_chinabond("1102",AD$1,$B38)</f>
        <v>1.6792</v>
      </c>
      <c r="AE38" s="7">
        <f ca="1">[1]!b_calc_curve_chinabond("1102",AE$1,$B38)</f>
        <v>1.6655</v>
      </c>
      <c r="AF38" s="7">
        <f ca="1">[1]!b_calc_curve_chinabond("1102",AF$1,$B38)</f>
        <v>0</v>
      </c>
      <c r="AG38" s="7">
        <f ca="1">[1]!b_calc_curve_chinabond("1102",AG$1,$B38)</f>
        <v>0</v>
      </c>
      <c r="AH38" s="7">
        <f ca="1">[1]!b_calc_curve_chinabond("1102",AH$1,$B38)</f>
        <v>0</v>
      </c>
      <c r="AI38" s="7">
        <f ca="1">[1]!b_calc_curve_chinabond("1102",AI$1,$B38)</f>
        <v>0</v>
      </c>
    </row>
    <row r="39" spans="1:35" ht="19.5" customHeight="1">
      <c r="A39" s="3" t="s">
        <v>39</v>
      </c>
      <c r="B39" s="4">
        <v>3.1</v>
      </c>
      <c r="C39" s="7">
        <f ca="1">[1]!b_calc_curve_chinabond("1102",C$1,$B39)</f>
        <v>1.677</v>
      </c>
      <c r="D39" s="7">
        <f ca="1">[1]!b_calc_curve_chinabond("1102",D$1,$B39)</f>
        <v>1.6735</v>
      </c>
      <c r="E39" s="7">
        <f ca="1">[1]!b_calc_curve_chinabond("1102",E$1,$B39)</f>
        <v>0</v>
      </c>
      <c r="F39" s="7">
        <f ca="1">[1]!b_calc_curve_chinabond("1102",F$1,$B39)</f>
        <v>0</v>
      </c>
      <c r="G39" s="7">
        <f ca="1">[1]!b_calc_curve_chinabond("1102",G$1,$B39)</f>
        <v>1.6672</v>
      </c>
      <c r="H39" s="7">
        <f ca="1">[1]!b_calc_curve_chinabond("1102",H$1,$B39)</f>
        <v>1.6620999999999999</v>
      </c>
      <c r="I39" s="7">
        <f ca="1">[1]!b_calc_curve_chinabond("1102",I$1,$B39)</f>
        <v>1.6558999999999999</v>
      </c>
      <c r="J39" s="7">
        <f ca="1">[1]!b_calc_curve_chinabond("1102",J$1,$B39)</f>
        <v>1.6424000000000001</v>
      </c>
      <c r="K39" s="7">
        <f ca="1">[1]!b_calc_curve_chinabond("1102",K$1,$B39)</f>
        <v>1.6376999999999999</v>
      </c>
      <c r="L39" s="7">
        <f ca="1">[1]!b_calc_curve_chinabond("1102",L$1,$B39)</f>
        <v>0</v>
      </c>
      <c r="M39" s="7">
        <f ca="1">[1]!b_calc_curve_chinabond("1102",M$1,$B39)</f>
        <v>0</v>
      </c>
      <c r="N39" s="7">
        <f ca="1">[1]!b_calc_curve_chinabond("1102",N$1,$B39)</f>
        <v>1.6301000000000001</v>
      </c>
      <c r="O39" s="7">
        <f ca="1">[1]!b_calc_curve_chinabond("1102",O$1,$B39)</f>
        <v>1.6226</v>
      </c>
      <c r="P39" s="7">
        <f ca="1">[1]!b_calc_curve_chinabond("1102",P$1,$B39)</f>
        <v>1.6193</v>
      </c>
      <c r="Q39" s="7">
        <f ca="1">[1]!b_calc_curve_chinabond("1102",Q$1,$B39)</f>
        <v>1.6180000000000001</v>
      </c>
      <c r="R39" s="7">
        <f ca="1">[1]!b_calc_curve_chinabond("1102",R$1,$B39)</f>
        <v>1.6168</v>
      </c>
      <c r="S39" s="7">
        <f ca="1">[1]!b_calc_curve_chinabond("1102",S$1,$B39)</f>
        <v>0</v>
      </c>
      <c r="T39" s="7">
        <f ca="1">[1]!b_calc_curve_chinabond("1102",T$1,$B39)</f>
        <v>0</v>
      </c>
      <c r="U39" s="7">
        <f ca="1">[1]!b_calc_curve_chinabond("1102",U$1,$B39)</f>
        <v>1.6393</v>
      </c>
      <c r="V39" s="7">
        <f ca="1">[1]!b_calc_curve_chinabond("1102",V$1,$B39)</f>
        <v>1.6518999999999999</v>
      </c>
      <c r="W39" s="7">
        <f ca="1">[1]!b_calc_curve_chinabond("1102",W$1,$B39)</f>
        <v>1.6623000000000001</v>
      </c>
      <c r="X39" s="7">
        <f ca="1">[1]!b_calc_curve_chinabond("1102",X$1,$B39)</f>
        <v>1.6862999999999999</v>
      </c>
      <c r="Y39" s="7">
        <f ca="1">[1]!b_calc_curve_chinabond("1102",Y$1,$B39)</f>
        <v>1.7016</v>
      </c>
      <c r="Z39" s="7">
        <f ca="1">[1]!b_calc_curve_chinabond("1102",Z$1,$B39)</f>
        <v>0</v>
      </c>
      <c r="AA39" s="7">
        <f ca="1">[1]!b_calc_curve_chinabond("1102",AA$1,$B39)</f>
        <v>0</v>
      </c>
      <c r="AB39" s="7">
        <f ca="1">[1]!b_calc_curve_chinabond("1102",AB$1,$B39)</f>
        <v>1.7008000000000001</v>
      </c>
      <c r="AC39" s="7">
        <f ca="1">[1]!b_calc_curve_chinabond("1102",AC$1,$B39)</f>
        <v>1.6977</v>
      </c>
      <c r="AD39" s="7">
        <f ca="1">[1]!b_calc_curve_chinabond("1102",AD$1,$B39)</f>
        <v>1.6863999999999999</v>
      </c>
      <c r="AE39" s="7">
        <f ca="1">[1]!b_calc_curve_chinabond("1102",AE$1,$B39)</f>
        <v>1.6721999999999999</v>
      </c>
      <c r="AF39" s="7">
        <f ca="1">[1]!b_calc_curve_chinabond("1102",AF$1,$B39)</f>
        <v>0</v>
      </c>
      <c r="AG39" s="7">
        <f ca="1">[1]!b_calc_curve_chinabond("1102",AG$1,$B39)</f>
        <v>0</v>
      </c>
      <c r="AH39" s="7">
        <f ca="1">[1]!b_calc_curve_chinabond("1102",AH$1,$B39)</f>
        <v>0</v>
      </c>
      <c r="AI39" s="7">
        <f ca="1">[1]!b_calc_curve_chinabond("1102",AI$1,$B39)</f>
        <v>0</v>
      </c>
    </row>
    <row r="40" spans="1:35" ht="19.5" customHeight="1">
      <c r="A40" s="1" t="s">
        <v>40</v>
      </c>
      <c r="B40" s="2">
        <v>3.2</v>
      </c>
      <c r="C40" s="7">
        <f ca="1">[1]!b_calc_curve_chinabond("1102",C$1,$B40)</f>
        <v>1.6839</v>
      </c>
      <c r="D40" s="7">
        <f ca="1">[1]!b_calc_curve_chinabond("1102",D$1,$B40)</f>
        <v>1.6803999999999999</v>
      </c>
      <c r="E40" s="7">
        <f ca="1">[1]!b_calc_curve_chinabond("1102",E$1,$B40)</f>
        <v>0</v>
      </c>
      <c r="F40" s="7">
        <f ca="1">[1]!b_calc_curve_chinabond("1102",F$1,$B40)</f>
        <v>0</v>
      </c>
      <c r="G40" s="7">
        <f ca="1">[1]!b_calc_curve_chinabond("1102",G$1,$B40)</f>
        <v>1.6741999999999999</v>
      </c>
      <c r="H40" s="7">
        <f ca="1">[1]!b_calc_curve_chinabond("1102",H$1,$B40)</f>
        <v>1.6692</v>
      </c>
      <c r="I40" s="7">
        <f ca="1">[1]!b_calc_curve_chinabond("1102",I$1,$B40)</f>
        <v>1.663</v>
      </c>
      <c r="J40" s="7">
        <f ca="1">[1]!b_calc_curve_chinabond("1102",J$1,$B40)</f>
        <v>1.6493</v>
      </c>
      <c r="K40" s="7">
        <f ca="1">[1]!b_calc_curve_chinabond("1102",K$1,$B40)</f>
        <v>1.6444000000000001</v>
      </c>
      <c r="L40" s="7">
        <f ca="1">[1]!b_calc_curve_chinabond("1102",L$1,$B40)</f>
        <v>0</v>
      </c>
      <c r="M40" s="7">
        <f ca="1">[1]!b_calc_curve_chinabond("1102",M$1,$B40)</f>
        <v>0</v>
      </c>
      <c r="N40" s="7">
        <f ca="1">[1]!b_calc_curve_chinabond("1102",N$1,$B40)</f>
        <v>1.6371</v>
      </c>
      <c r="O40" s="7">
        <f ca="1">[1]!b_calc_curve_chinabond("1102",O$1,$B40)</f>
        <v>1.6295999999999999</v>
      </c>
      <c r="P40" s="7">
        <f ca="1">[1]!b_calc_curve_chinabond("1102",P$1,$B40)</f>
        <v>1.6262000000000001</v>
      </c>
      <c r="Q40" s="7">
        <f ca="1">[1]!b_calc_curve_chinabond("1102",Q$1,$B40)</f>
        <v>1.6236999999999999</v>
      </c>
      <c r="R40" s="7">
        <f ca="1">[1]!b_calc_curve_chinabond("1102",R$1,$B40)</f>
        <v>1.6228</v>
      </c>
      <c r="S40" s="7">
        <f ca="1">[1]!b_calc_curve_chinabond("1102",S$1,$B40)</f>
        <v>0</v>
      </c>
      <c r="T40" s="7">
        <f ca="1">[1]!b_calc_curve_chinabond("1102",T$1,$B40)</f>
        <v>0</v>
      </c>
      <c r="U40" s="7">
        <f ca="1">[1]!b_calc_curve_chinabond("1102",U$1,$B40)</f>
        <v>1.6448</v>
      </c>
      <c r="V40" s="7">
        <f ca="1">[1]!b_calc_curve_chinabond("1102",V$1,$B40)</f>
        <v>1.6574</v>
      </c>
      <c r="W40" s="7">
        <f ca="1">[1]!b_calc_curve_chinabond("1102",W$1,$B40)</f>
        <v>1.6672</v>
      </c>
      <c r="X40" s="7">
        <f ca="1">[1]!b_calc_curve_chinabond("1102",X$1,$B40)</f>
        <v>1.6911</v>
      </c>
      <c r="Y40" s="7">
        <f ca="1">[1]!b_calc_curve_chinabond("1102",Y$1,$B40)</f>
        <v>1.7071000000000001</v>
      </c>
      <c r="Z40" s="7">
        <f ca="1">[1]!b_calc_curve_chinabond("1102",Z$1,$B40)</f>
        <v>0</v>
      </c>
      <c r="AA40" s="7">
        <f ca="1">[1]!b_calc_curve_chinabond("1102",AA$1,$B40)</f>
        <v>0</v>
      </c>
      <c r="AB40" s="7">
        <f ca="1">[1]!b_calc_curve_chinabond("1102",AB$1,$B40)</f>
        <v>1.7064999999999999</v>
      </c>
      <c r="AC40" s="7">
        <f ca="1">[1]!b_calc_curve_chinabond("1102",AC$1,$B40)</f>
        <v>1.7033</v>
      </c>
      <c r="AD40" s="7">
        <f ca="1">[1]!b_calc_curve_chinabond("1102",AD$1,$B40)</f>
        <v>1.6924999999999999</v>
      </c>
      <c r="AE40" s="7">
        <f ca="1">[1]!b_calc_curve_chinabond("1102",AE$1,$B40)</f>
        <v>1.6780999999999999</v>
      </c>
      <c r="AF40" s="7">
        <f ca="1">[1]!b_calc_curve_chinabond("1102",AF$1,$B40)</f>
        <v>0</v>
      </c>
      <c r="AG40" s="7">
        <f ca="1">[1]!b_calc_curve_chinabond("1102",AG$1,$B40)</f>
        <v>0</v>
      </c>
      <c r="AH40" s="7">
        <f ca="1">[1]!b_calc_curve_chinabond("1102",AH$1,$B40)</f>
        <v>0</v>
      </c>
      <c r="AI40" s="7">
        <f ca="1">[1]!b_calc_curve_chinabond("1102",AI$1,$B40)</f>
        <v>0</v>
      </c>
    </row>
    <row r="41" spans="1:35" ht="19.5" customHeight="1">
      <c r="A41" s="3" t="s">
        <v>41</v>
      </c>
      <c r="B41" s="4">
        <v>3.3</v>
      </c>
      <c r="C41" s="7">
        <f ca="1">[1]!b_calc_curve_chinabond("1102",C$1,$B41)</f>
        <v>1.6913</v>
      </c>
      <c r="D41" s="7">
        <f ca="1">[1]!b_calc_curve_chinabond("1102",D$1,$B41)</f>
        <v>1.6878</v>
      </c>
      <c r="E41" s="7">
        <f ca="1">[1]!b_calc_curve_chinabond("1102",E$1,$B41)</f>
        <v>0</v>
      </c>
      <c r="F41" s="7">
        <f ca="1">[1]!b_calc_curve_chinabond("1102",F$1,$B41)</f>
        <v>0</v>
      </c>
      <c r="G41" s="7">
        <f ca="1">[1]!b_calc_curve_chinabond("1102",G$1,$B41)</f>
        <v>1.6819</v>
      </c>
      <c r="H41" s="7">
        <f ca="1">[1]!b_calc_curve_chinabond("1102",H$1,$B41)</f>
        <v>1.6767000000000001</v>
      </c>
      <c r="I41" s="7">
        <f ca="1">[1]!b_calc_curve_chinabond("1102",I$1,$B41)</f>
        <v>1.6701999999999999</v>
      </c>
      <c r="J41" s="7">
        <f ca="1">[1]!b_calc_curve_chinabond("1102",J$1,$B41)</f>
        <v>1.6564000000000001</v>
      </c>
      <c r="K41" s="7">
        <f ca="1">[1]!b_calc_curve_chinabond("1102",K$1,$B41)</f>
        <v>1.6515</v>
      </c>
      <c r="L41" s="7">
        <f ca="1">[1]!b_calc_curve_chinabond("1102",L$1,$B41)</f>
        <v>0</v>
      </c>
      <c r="M41" s="7">
        <f ca="1">[1]!b_calc_curve_chinabond("1102",M$1,$B41)</f>
        <v>0</v>
      </c>
      <c r="N41" s="7">
        <f ca="1">[1]!b_calc_curve_chinabond("1102",N$1,$B41)</f>
        <v>1.6444000000000001</v>
      </c>
      <c r="O41" s="7">
        <f ca="1">[1]!b_calc_curve_chinabond("1102",O$1,$B41)</f>
        <v>1.6368</v>
      </c>
      <c r="P41" s="7">
        <f ca="1">[1]!b_calc_curve_chinabond("1102",P$1,$B41)</f>
        <v>1.6336999999999999</v>
      </c>
      <c r="Q41" s="7">
        <f ca="1">[1]!b_calc_curve_chinabond("1102",Q$1,$B41)</f>
        <v>1.6296999999999999</v>
      </c>
      <c r="R41" s="7">
        <f ca="1">[1]!b_calc_curve_chinabond("1102",R$1,$B41)</f>
        <v>1.6293</v>
      </c>
      <c r="S41" s="7">
        <f ca="1">[1]!b_calc_curve_chinabond("1102",S$1,$B41)</f>
        <v>0</v>
      </c>
      <c r="T41" s="7">
        <f ca="1">[1]!b_calc_curve_chinabond("1102",T$1,$B41)</f>
        <v>0</v>
      </c>
      <c r="U41" s="7">
        <f ca="1">[1]!b_calc_curve_chinabond("1102",U$1,$B41)</f>
        <v>1.6497999999999999</v>
      </c>
      <c r="V41" s="7">
        <f ca="1">[1]!b_calc_curve_chinabond("1102",V$1,$B41)</f>
        <v>1.6627000000000001</v>
      </c>
      <c r="W41" s="7">
        <f ca="1">[1]!b_calc_curve_chinabond("1102",W$1,$B41)</f>
        <v>1.6720999999999999</v>
      </c>
      <c r="X41" s="7">
        <f ca="1">[1]!b_calc_curve_chinabond("1102",X$1,$B41)</f>
        <v>1.6961999999999999</v>
      </c>
      <c r="Y41" s="7">
        <f ca="1">[1]!b_calc_curve_chinabond("1102",Y$1,$B41)</f>
        <v>1.7121</v>
      </c>
      <c r="Z41" s="7">
        <f ca="1">[1]!b_calc_curve_chinabond("1102",Z$1,$B41)</f>
        <v>0</v>
      </c>
      <c r="AA41" s="7">
        <f ca="1">[1]!b_calc_curve_chinabond("1102",AA$1,$B41)</f>
        <v>0</v>
      </c>
      <c r="AB41" s="7">
        <f ca="1">[1]!b_calc_curve_chinabond("1102",AB$1,$B41)</f>
        <v>1.7119</v>
      </c>
      <c r="AC41" s="7">
        <f ca="1">[1]!b_calc_curve_chinabond("1102",AC$1,$B41)</f>
        <v>1.7081999999999999</v>
      </c>
      <c r="AD41" s="7">
        <f ca="1">[1]!b_calc_curve_chinabond("1102",AD$1,$B41)</f>
        <v>1.6978</v>
      </c>
      <c r="AE41" s="7">
        <f ca="1">[1]!b_calc_curve_chinabond("1102",AE$1,$B41)</f>
        <v>1.6833</v>
      </c>
      <c r="AF41" s="7">
        <f ca="1">[1]!b_calc_curve_chinabond("1102",AF$1,$B41)</f>
        <v>0</v>
      </c>
      <c r="AG41" s="7">
        <f ca="1">[1]!b_calc_curve_chinabond("1102",AG$1,$B41)</f>
        <v>0</v>
      </c>
      <c r="AH41" s="7">
        <f ca="1">[1]!b_calc_curve_chinabond("1102",AH$1,$B41)</f>
        <v>0</v>
      </c>
      <c r="AI41" s="7">
        <f ca="1">[1]!b_calc_curve_chinabond("1102",AI$1,$B41)</f>
        <v>0</v>
      </c>
    </row>
    <row r="42" spans="1:35" ht="19.5" customHeight="1">
      <c r="A42" s="1" t="s">
        <v>42</v>
      </c>
      <c r="B42" s="2">
        <v>3.4</v>
      </c>
      <c r="C42" s="7">
        <f ca="1">[1]!b_calc_curve_chinabond("1102",C$1,$B42)</f>
        <v>1.6991000000000001</v>
      </c>
      <c r="D42" s="7">
        <f ca="1">[1]!b_calc_curve_chinabond("1102",D$1,$B42)</f>
        <v>1.6957</v>
      </c>
      <c r="E42" s="7">
        <f ca="1">[1]!b_calc_curve_chinabond("1102",E$1,$B42)</f>
        <v>0</v>
      </c>
      <c r="F42" s="7">
        <f ca="1">[1]!b_calc_curve_chinabond("1102",F$1,$B42)</f>
        <v>0</v>
      </c>
      <c r="G42" s="7">
        <f ca="1">[1]!b_calc_curve_chinabond("1102",G$1,$B42)</f>
        <v>1.6900999999999999</v>
      </c>
      <c r="H42" s="7">
        <f ca="1">[1]!b_calc_curve_chinabond("1102",H$1,$B42)</f>
        <v>1.6847000000000001</v>
      </c>
      <c r="I42" s="7">
        <f ca="1">[1]!b_calc_curve_chinabond("1102",I$1,$B42)</f>
        <v>1.6777</v>
      </c>
      <c r="J42" s="7">
        <f ca="1">[1]!b_calc_curve_chinabond("1102",J$1,$B42)</f>
        <v>1.6637</v>
      </c>
      <c r="K42" s="7">
        <f ca="1">[1]!b_calc_curve_chinabond("1102",K$1,$B42)</f>
        <v>1.6589</v>
      </c>
      <c r="L42" s="7">
        <f ca="1">[1]!b_calc_curve_chinabond("1102",L$1,$B42)</f>
        <v>0</v>
      </c>
      <c r="M42" s="7">
        <f ca="1">[1]!b_calc_curve_chinabond("1102",M$1,$B42)</f>
        <v>0</v>
      </c>
      <c r="N42" s="7">
        <f ca="1">[1]!b_calc_curve_chinabond("1102",N$1,$B42)</f>
        <v>1.6519999999999999</v>
      </c>
      <c r="O42" s="7">
        <f ca="1">[1]!b_calc_curve_chinabond("1102",O$1,$B42)</f>
        <v>1.6442000000000001</v>
      </c>
      <c r="P42" s="7">
        <f ca="1">[1]!b_calc_curve_chinabond("1102",P$1,$B42)</f>
        <v>1.6415</v>
      </c>
      <c r="Q42" s="7">
        <f ca="1">[1]!b_calc_curve_chinabond("1102",Q$1,$B42)</f>
        <v>1.6357999999999999</v>
      </c>
      <c r="R42" s="7">
        <f ca="1">[1]!b_calc_curve_chinabond("1102",R$1,$B42)</f>
        <v>1.6363000000000001</v>
      </c>
      <c r="S42" s="7">
        <f ca="1">[1]!b_calc_curve_chinabond("1102",S$1,$B42)</f>
        <v>0</v>
      </c>
      <c r="T42" s="7">
        <f ca="1">[1]!b_calc_curve_chinabond("1102",T$1,$B42)</f>
        <v>0</v>
      </c>
      <c r="U42" s="7">
        <f ca="1">[1]!b_calc_curve_chinabond("1102",U$1,$B42)</f>
        <v>1.6545000000000001</v>
      </c>
      <c r="V42" s="7">
        <f ca="1">[1]!b_calc_curve_chinabond("1102",V$1,$B42)</f>
        <v>1.6678999999999999</v>
      </c>
      <c r="W42" s="7">
        <f ca="1">[1]!b_calc_curve_chinabond("1102",W$1,$B42)</f>
        <v>1.6772</v>
      </c>
      <c r="X42" s="7">
        <f ca="1">[1]!b_calc_curve_chinabond("1102",X$1,$B42)</f>
        <v>1.7014</v>
      </c>
      <c r="Y42" s="7">
        <f ca="1">[1]!b_calc_curve_chinabond("1102",Y$1,$B42)</f>
        <v>1.7168000000000001</v>
      </c>
      <c r="Z42" s="7">
        <f ca="1">[1]!b_calc_curve_chinabond("1102",Z$1,$B42)</f>
        <v>0</v>
      </c>
      <c r="AA42" s="7">
        <f ca="1">[1]!b_calc_curve_chinabond("1102",AA$1,$B42)</f>
        <v>0</v>
      </c>
      <c r="AB42" s="7">
        <f ca="1">[1]!b_calc_curve_chinabond("1102",AB$1,$B42)</f>
        <v>1.7171000000000001</v>
      </c>
      <c r="AC42" s="7">
        <f ca="1">[1]!b_calc_curve_chinabond("1102",AC$1,$B42)</f>
        <v>1.7124999999999999</v>
      </c>
      <c r="AD42" s="7">
        <f ca="1">[1]!b_calc_curve_chinabond("1102",AD$1,$B42)</f>
        <v>1.7023999999999999</v>
      </c>
      <c r="AE42" s="7">
        <f ca="1">[1]!b_calc_curve_chinabond("1102",AE$1,$B42)</f>
        <v>1.6880999999999999</v>
      </c>
      <c r="AF42" s="7">
        <f ca="1">[1]!b_calc_curve_chinabond("1102",AF$1,$B42)</f>
        <v>0</v>
      </c>
      <c r="AG42" s="7">
        <f ca="1">[1]!b_calc_curve_chinabond("1102",AG$1,$B42)</f>
        <v>0</v>
      </c>
      <c r="AH42" s="7">
        <f ca="1">[1]!b_calc_curve_chinabond("1102",AH$1,$B42)</f>
        <v>0</v>
      </c>
      <c r="AI42" s="7">
        <f ca="1">[1]!b_calc_curve_chinabond("1102",AI$1,$B42)</f>
        <v>0</v>
      </c>
    </row>
    <row r="43" spans="1:35" ht="19.5" customHeight="1">
      <c r="A43" s="3" t="s">
        <v>43</v>
      </c>
      <c r="B43" s="4">
        <v>3.5</v>
      </c>
      <c r="C43" s="7">
        <f ca="1">[1]!b_calc_curve_chinabond("1102",C$1,$B43)</f>
        <v>1.7072000000000001</v>
      </c>
      <c r="D43" s="7">
        <f ca="1">[1]!b_calc_curve_chinabond("1102",D$1,$B43)</f>
        <v>1.704</v>
      </c>
      <c r="E43" s="7">
        <f ca="1">[1]!b_calc_curve_chinabond("1102",E$1,$B43)</f>
        <v>0</v>
      </c>
      <c r="F43" s="7">
        <f ca="1">[1]!b_calc_curve_chinabond("1102",F$1,$B43)</f>
        <v>0</v>
      </c>
      <c r="G43" s="7">
        <f ca="1">[1]!b_calc_curve_chinabond("1102",G$1,$B43)</f>
        <v>1.6987000000000001</v>
      </c>
      <c r="H43" s="7">
        <f ca="1">[1]!b_calc_curve_chinabond("1102",H$1,$B43)</f>
        <v>1.6929000000000001</v>
      </c>
      <c r="I43" s="7">
        <f ca="1">[1]!b_calc_curve_chinabond("1102",I$1,$B43)</f>
        <v>1.6853</v>
      </c>
      <c r="J43" s="7">
        <f ca="1">[1]!b_calc_curve_chinabond("1102",J$1,$B43)</f>
        <v>1.6713</v>
      </c>
      <c r="K43" s="7">
        <f ca="1">[1]!b_calc_curve_chinabond("1102",K$1,$B43)</f>
        <v>1.6665000000000001</v>
      </c>
      <c r="L43" s="7">
        <f ca="1">[1]!b_calc_curve_chinabond("1102",L$1,$B43)</f>
        <v>0</v>
      </c>
      <c r="M43" s="7">
        <f ca="1">[1]!b_calc_curve_chinabond("1102",M$1,$B43)</f>
        <v>0</v>
      </c>
      <c r="N43" s="7">
        <f ca="1">[1]!b_calc_curve_chinabond("1102",N$1,$B43)</f>
        <v>1.6597999999999999</v>
      </c>
      <c r="O43" s="7">
        <f ca="1">[1]!b_calc_curve_chinabond("1102",O$1,$B43)</f>
        <v>1.6516999999999999</v>
      </c>
      <c r="P43" s="7">
        <f ca="1">[1]!b_calc_curve_chinabond("1102",P$1,$B43)</f>
        <v>1.6494</v>
      </c>
      <c r="Q43" s="7">
        <f ca="1">[1]!b_calc_curve_chinabond("1102",Q$1,$B43)</f>
        <v>1.6420999999999999</v>
      </c>
      <c r="R43" s="7">
        <f ca="1">[1]!b_calc_curve_chinabond("1102",R$1,$B43)</f>
        <v>1.6435999999999999</v>
      </c>
      <c r="S43" s="7">
        <f ca="1">[1]!b_calc_curve_chinabond("1102",S$1,$B43)</f>
        <v>0</v>
      </c>
      <c r="T43" s="7">
        <f ca="1">[1]!b_calc_curve_chinabond("1102",T$1,$B43)</f>
        <v>0</v>
      </c>
      <c r="U43" s="7">
        <f ca="1">[1]!b_calc_curve_chinabond("1102",U$1,$B43)</f>
        <v>1.659</v>
      </c>
      <c r="V43" s="7">
        <f ca="1">[1]!b_calc_curve_chinabond("1102",V$1,$B43)</f>
        <v>1.673</v>
      </c>
      <c r="W43" s="7">
        <f ca="1">[1]!b_calc_curve_chinabond("1102",W$1,$B43)</f>
        <v>1.6823999999999999</v>
      </c>
      <c r="X43" s="7">
        <f ca="1">[1]!b_calc_curve_chinabond("1102",X$1,$B43)</f>
        <v>1.7067000000000001</v>
      </c>
      <c r="Y43" s="7">
        <f ca="1">[1]!b_calc_curve_chinabond("1102",Y$1,$B43)</f>
        <v>1.7213000000000001</v>
      </c>
      <c r="Z43" s="7">
        <f ca="1">[1]!b_calc_curve_chinabond("1102",Z$1,$B43)</f>
        <v>0</v>
      </c>
      <c r="AA43" s="7">
        <f ca="1">[1]!b_calc_curve_chinabond("1102",AA$1,$B43)</f>
        <v>0</v>
      </c>
      <c r="AB43" s="7">
        <f ca="1">[1]!b_calc_curve_chinabond("1102",AB$1,$B43)</f>
        <v>1.7222</v>
      </c>
      <c r="AC43" s="7">
        <f ca="1">[1]!b_calc_curve_chinabond("1102",AC$1,$B43)</f>
        <v>1.7163999999999999</v>
      </c>
      <c r="AD43" s="7">
        <f ca="1">[1]!b_calc_curve_chinabond("1102",AD$1,$B43)</f>
        <v>1.7064999999999999</v>
      </c>
      <c r="AE43" s="7">
        <f ca="1">[1]!b_calc_curve_chinabond("1102",AE$1,$B43)</f>
        <v>1.6926000000000001</v>
      </c>
      <c r="AF43" s="7">
        <f ca="1">[1]!b_calc_curve_chinabond("1102",AF$1,$B43)</f>
        <v>0</v>
      </c>
      <c r="AG43" s="7">
        <f ca="1">[1]!b_calc_curve_chinabond("1102",AG$1,$B43)</f>
        <v>0</v>
      </c>
      <c r="AH43" s="7">
        <f ca="1">[1]!b_calc_curve_chinabond("1102",AH$1,$B43)</f>
        <v>0</v>
      </c>
      <c r="AI43" s="7">
        <f ca="1">[1]!b_calc_curve_chinabond("1102",AI$1,$B43)</f>
        <v>0</v>
      </c>
    </row>
    <row r="44" spans="1:35" ht="19.5" customHeight="1">
      <c r="A44" s="1" t="s">
        <v>44</v>
      </c>
      <c r="B44" s="2">
        <v>3.6</v>
      </c>
      <c r="C44" s="7">
        <f ca="1">[1]!b_calc_curve_chinabond("1102",C$1,$B44)</f>
        <v>1.7154</v>
      </c>
      <c r="D44" s="7">
        <f ca="1">[1]!b_calc_curve_chinabond("1102",D$1,$B44)</f>
        <v>1.7123999999999999</v>
      </c>
      <c r="E44" s="7">
        <f ca="1">[1]!b_calc_curve_chinabond("1102",E$1,$B44)</f>
        <v>0</v>
      </c>
      <c r="F44" s="7">
        <f ca="1">[1]!b_calc_curve_chinabond("1102",F$1,$B44)</f>
        <v>0</v>
      </c>
      <c r="G44" s="7">
        <f ca="1">[1]!b_calc_curve_chinabond("1102",G$1,$B44)</f>
        <v>1.7075</v>
      </c>
      <c r="H44" s="7">
        <f ca="1">[1]!b_calc_curve_chinabond("1102",H$1,$B44)</f>
        <v>1.7013</v>
      </c>
      <c r="I44" s="7">
        <f ca="1">[1]!b_calc_curve_chinabond("1102",I$1,$B44)</f>
        <v>1.6930000000000001</v>
      </c>
      <c r="J44" s="7">
        <f ca="1">[1]!b_calc_curve_chinabond("1102",J$1,$B44)</f>
        <v>1.6789000000000001</v>
      </c>
      <c r="K44" s="7">
        <f ca="1">[1]!b_calc_curve_chinabond("1102",K$1,$B44)</f>
        <v>1.6742999999999999</v>
      </c>
      <c r="L44" s="7">
        <f ca="1">[1]!b_calc_curve_chinabond("1102",L$1,$B44)</f>
        <v>0</v>
      </c>
      <c r="M44" s="7">
        <f ca="1">[1]!b_calc_curve_chinabond("1102",M$1,$B44)</f>
        <v>0</v>
      </c>
      <c r="N44" s="7">
        <f ca="1">[1]!b_calc_curve_chinabond("1102",N$1,$B44)</f>
        <v>1.6677</v>
      </c>
      <c r="O44" s="7">
        <f ca="1">[1]!b_calc_curve_chinabond("1102",O$1,$B44)</f>
        <v>1.6593</v>
      </c>
      <c r="P44" s="7">
        <f ca="1">[1]!b_calc_curve_chinabond("1102",P$1,$B44)</f>
        <v>1.6572</v>
      </c>
      <c r="Q44" s="7">
        <f ca="1">[1]!b_calc_curve_chinabond("1102",Q$1,$B44)</f>
        <v>1.6486000000000001</v>
      </c>
      <c r="R44" s="7">
        <f ca="1">[1]!b_calc_curve_chinabond("1102",R$1,$B44)</f>
        <v>1.6511</v>
      </c>
      <c r="S44" s="7">
        <f ca="1">[1]!b_calc_curve_chinabond("1102",S$1,$B44)</f>
        <v>0</v>
      </c>
      <c r="T44" s="7">
        <f ca="1">[1]!b_calc_curve_chinabond("1102",T$1,$B44)</f>
        <v>0</v>
      </c>
      <c r="U44" s="7">
        <f ca="1">[1]!b_calc_curve_chinabond("1102",U$1,$B44)</f>
        <v>1.6633</v>
      </c>
      <c r="V44" s="7">
        <f ca="1">[1]!b_calc_curve_chinabond("1102",V$1,$B44)</f>
        <v>1.6779999999999999</v>
      </c>
      <c r="W44" s="7">
        <f ca="1">[1]!b_calc_curve_chinabond("1102",W$1,$B44)</f>
        <v>1.6875</v>
      </c>
      <c r="X44" s="7">
        <f ca="1">[1]!b_calc_curve_chinabond("1102",X$1,$B44)</f>
        <v>1.7121</v>
      </c>
      <c r="Y44" s="7">
        <f ca="1">[1]!b_calc_curve_chinabond("1102",Y$1,$B44)</f>
        <v>1.7256</v>
      </c>
      <c r="Z44" s="7">
        <f ca="1">[1]!b_calc_curve_chinabond("1102",Z$1,$B44)</f>
        <v>0</v>
      </c>
      <c r="AA44" s="7">
        <f ca="1">[1]!b_calc_curve_chinabond("1102",AA$1,$B44)</f>
        <v>0</v>
      </c>
      <c r="AB44" s="7">
        <f ca="1">[1]!b_calc_curve_chinabond("1102",AB$1,$B44)</f>
        <v>1.7271000000000001</v>
      </c>
      <c r="AC44" s="7">
        <f ca="1">[1]!b_calc_curve_chinabond("1102",AC$1,$B44)</f>
        <v>1.72</v>
      </c>
      <c r="AD44" s="7">
        <f ca="1">[1]!b_calc_curve_chinabond("1102",AD$1,$B44)</f>
        <v>1.7102999999999999</v>
      </c>
      <c r="AE44" s="7">
        <f ca="1">[1]!b_calc_curve_chinabond("1102",AE$1,$B44)</f>
        <v>1.6968000000000001</v>
      </c>
      <c r="AF44" s="7">
        <f ca="1">[1]!b_calc_curve_chinabond("1102",AF$1,$B44)</f>
        <v>0</v>
      </c>
      <c r="AG44" s="7">
        <f ca="1">[1]!b_calc_curve_chinabond("1102",AG$1,$B44)</f>
        <v>0</v>
      </c>
      <c r="AH44" s="7">
        <f ca="1">[1]!b_calc_curve_chinabond("1102",AH$1,$B44)</f>
        <v>0</v>
      </c>
      <c r="AI44" s="7">
        <f ca="1">[1]!b_calc_curve_chinabond("1102",AI$1,$B44)</f>
        <v>0</v>
      </c>
    </row>
    <row r="45" spans="1:35" ht="19.5" customHeight="1">
      <c r="A45" s="3" t="s">
        <v>45</v>
      </c>
      <c r="B45" s="4">
        <v>3.7</v>
      </c>
      <c r="C45" s="7">
        <f ca="1">[1]!b_calc_curve_chinabond("1102",C$1,$B45)</f>
        <v>1.7238</v>
      </c>
      <c r="D45" s="7">
        <f ca="1">[1]!b_calc_curve_chinabond("1102",D$1,$B45)</f>
        <v>1.7210000000000001</v>
      </c>
      <c r="E45" s="7">
        <f ca="1">[1]!b_calc_curve_chinabond("1102",E$1,$B45)</f>
        <v>0</v>
      </c>
      <c r="F45" s="7">
        <f ca="1">[1]!b_calc_curve_chinabond("1102",F$1,$B45)</f>
        <v>0</v>
      </c>
      <c r="G45" s="7">
        <f ca="1">[1]!b_calc_curve_chinabond("1102",G$1,$B45)</f>
        <v>1.7163999999999999</v>
      </c>
      <c r="H45" s="7">
        <f ca="1">[1]!b_calc_curve_chinabond("1102",H$1,$B45)</f>
        <v>1.7098</v>
      </c>
      <c r="I45" s="7">
        <f ca="1">[1]!b_calc_curve_chinabond("1102",I$1,$B45)</f>
        <v>1.7007000000000001</v>
      </c>
      <c r="J45" s="7">
        <f ca="1">[1]!b_calc_curve_chinabond("1102",J$1,$B45)</f>
        <v>1.6866000000000001</v>
      </c>
      <c r="K45" s="7">
        <f ca="1">[1]!b_calc_curve_chinabond("1102",K$1,$B45)</f>
        <v>1.6820999999999999</v>
      </c>
      <c r="L45" s="7">
        <f ca="1">[1]!b_calc_curve_chinabond("1102",L$1,$B45)</f>
        <v>0</v>
      </c>
      <c r="M45" s="7">
        <f ca="1">[1]!b_calc_curve_chinabond("1102",M$1,$B45)</f>
        <v>0</v>
      </c>
      <c r="N45" s="7">
        <f ca="1">[1]!b_calc_curve_chinabond("1102",N$1,$B45)</f>
        <v>1.6756</v>
      </c>
      <c r="O45" s="7">
        <f ca="1">[1]!b_calc_curve_chinabond("1102",O$1,$B45)</f>
        <v>1.6669</v>
      </c>
      <c r="P45" s="7">
        <f ca="1">[1]!b_calc_curve_chinabond("1102",P$1,$B45)</f>
        <v>1.6645000000000001</v>
      </c>
      <c r="Q45" s="7">
        <f ca="1">[1]!b_calc_curve_chinabond("1102",Q$1,$B45)</f>
        <v>1.655</v>
      </c>
      <c r="R45" s="7">
        <f ca="1">[1]!b_calc_curve_chinabond("1102",R$1,$B45)</f>
        <v>1.6587000000000001</v>
      </c>
      <c r="S45" s="7">
        <f ca="1">[1]!b_calc_curve_chinabond("1102",S$1,$B45)</f>
        <v>0</v>
      </c>
      <c r="T45" s="7">
        <f ca="1">[1]!b_calc_curve_chinabond("1102",T$1,$B45)</f>
        <v>0</v>
      </c>
      <c r="U45" s="7">
        <f ca="1">[1]!b_calc_curve_chinabond("1102",U$1,$B45)</f>
        <v>1.6676</v>
      </c>
      <c r="V45" s="7">
        <f ca="1">[1]!b_calc_curve_chinabond("1102",V$1,$B45)</f>
        <v>1.6830000000000001</v>
      </c>
      <c r="W45" s="7">
        <f ca="1">[1]!b_calc_curve_chinabond("1102",W$1,$B45)</f>
        <v>1.6927000000000001</v>
      </c>
      <c r="X45" s="7">
        <f ca="1">[1]!b_calc_curve_chinabond("1102",X$1,$B45)</f>
        <v>1.7175</v>
      </c>
      <c r="Y45" s="7">
        <f ca="1">[1]!b_calc_curve_chinabond("1102",Y$1,$B45)</f>
        <v>1.7299</v>
      </c>
      <c r="Z45" s="7">
        <f ca="1">[1]!b_calc_curve_chinabond("1102",Z$1,$B45)</f>
        <v>0</v>
      </c>
      <c r="AA45" s="7">
        <f ca="1">[1]!b_calc_curve_chinabond("1102",AA$1,$B45)</f>
        <v>0</v>
      </c>
      <c r="AB45" s="7">
        <f ca="1">[1]!b_calc_curve_chinabond("1102",AB$1,$B45)</f>
        <v>1.732</v>
      </c>
      <c r="AC45" s="7">
        <f ca="1">[1]!b_calc_curve_chinabond("1102",AC$1,$B45)</f>
        <v>1.7235</v>
      </c>
      <c r="AD45" s="7">
        <f ca="1">[1]!b_calc_curve_chinabond("1102",AD$1,$B45)</f>
        <v>1.714</v>
      </c>
      <c r="AE45" s="7">
        <f ca="1">[1]!b_calc_curve_chinabond("1102",AE$1,$B45)</f>
        <v>1.7010000000000001</v>
      </c>
      <c r="AF45" s="7">
        <f ca="1">[1]!b_calc_curve_chinabond("1102",AF$1,$B45)</f>
        <v>0</v>
      </c>
      <c r="AG45" s="7">
        <f ca="1">[1]!b_calc_curve_chinabond("1102",AG$1,$B45)</f>
        <v>0</v>
      </c>
      <c r="AH45" s="7">
        <f ca="1">[1]!b_calc_curve_chinabond("1102",AH$1,$B45)</f>
        <v>0</v>
      </c>
      <c r="AI45" s="7">
        <f ca="1">[1]!b_calc_curve_chinabond("1102",AI$1,$B45)</f>
        <v>0</v>
      </c>
    </row>
    <row r="46" spans="1:35" ht="19.5" customHeight="1">
      <c r="A46" s="1" t="s">
        <v>46</v>
      </c>
      <c r="B46" s="2">
        <v>3.8</v>
      </c>
      <c r="C46" s="7">
        <f ca="1">[1]!b_calc_curve_chinabond("1102",C$1,$B46)</f>
        <v>1.732</v>
      </c>
      <c r="D46" s="7">
        <f ca="1">[1]!b_calc_curve_chinabond("1102",D$1,$B46)</f>
        <v>1.7295</v>
      </c>
      <c r="E46" s="7">
        <f ca="1">[1]!b_calc_curve_chinabond("1102",E$1,$B46)</f>
        <v>0</v>
      </c>
      <c r="F46" s="7">
        <f ca="1">[1]!b_calc_curve_chinabond("1102",F$1,$B46)</f>
        <v>0</v>
      </c>
      <c r="G46" s="7">
        <f ca="1">[1]!b_calc_curve_chinabond("1102",G$1,$B46)</f>
        <v>1.7252000000000001</v>
      </c>
      <c r="H46" s="7">
        <f ca="1">[1]!b_calc_curve_chinabond("1102",H$1,$B46)</f>
        <v>1.7181999999999999</v>
      </c>
      <c r="I46" s="7">
        <f ca="1">[1]!b_calc_curve_chinabond("1102",I$1,$B46)</f>
        <v>1.7083999999999999</v>
      </c>
      <c r="J46" s="7">
        <f ca="1">[1]!b_calc_curve_chinabond("1102",J$1,$B46)</f>
        <v>1.6941999999999999</v>
      </c>
      <c r="K46" s="7">
        <f ca="1">[1]!b_calc_curve_chinabond("1102",K$1,$B46)</f>
        <v>1.6899</v>
      </c>
      <c r="L46" s="7">
        <f ca="1">[1]!b_calc_curve_chinabond("1102",L$1,$B46)</f>
        <v>0</v>
      </c>
      <c r="M46" s="7">
        <f ca="1">[1]!b_calc_curve_chinabond("1102",M$1,$B46)</f>
        <v>0</v>
      </c>
      <c r="N46" s="7">
        <f ca="1">[1]!b_calc_curve_chinabond("1102",N$1,$B46)</f>
        <v>1.6836</v>
      </c>
      <c r="O46" s="7">
        <f ca="1">[1]!b_calc_curve_chinabond("1102",O$1,$B46)</f>
        <v>1.6745000000000001</v>
      </c>
      <c r="P46" s="7">
        <f ca="1">[1]!b_calc_curve_chinabond("1102",P$1,$B46)</f>
        <v>1.6716</v>
      </c>
      <c r="Q46" s="7">
        <f ca="1">[1]!b_calc_curve_chinabond("1102",Q$1,$B46)</f>
        <v>1.6615</v>
      </c>
      <c r="R46" s="7">
        <f ca="1">[1]!b_calc_curve_chinabond("1102",R$1,$B46)</f>
        <v>1.6661999999999999</v>
      </c>
      <c r="S46" s="7">
        <f ca="1">[1]!b_calc_curve_chinabond("1102",S$1,$B46)</f>
        <v>0</v>
      </c>
      <c r="T46" s="7">
        <f ca="1">[1]!b_calc_curve_chinabond("1102",T$1,$B46)</f>
        <v>0</v>
      </c>
      <c r="U46" s="7">
        <f ca="1">[1]!b_calc_curve_chinabond("1102",U$1,$B46)</f>
        <v>1.6718999999999999</v>
      </c>
      <c r="V46" s="7">
        <f ca="1">[1]!b_calc_curve_chinabond("1102",V$1,$B46)</f>
        <v>1.6879999999999999</v>
      </c>
      <c r="W46" s="7">
        <f ca="1">[1]!b_calc_curve_chinabond("1102",W$1,$B46)</f>
        <v>1.6979</v>
      </c>
      <c r="X46" s="7">
        <f ca="1">[1]!b_calc_curve_chinabond("1102",X$1,$B46)</f>
        <v>1.7229000000000001</v>
      </c>
      <c r="Y46" s="7">
        <f ca="1">[1]!b_calc_curve_chinabond("1102",Y$1,$B46)</f>
        <v>1.7342</v>
      </c>
      <c r="Z46" s="7">
        <f ca="1">[1]!b_calc_curve_chinabond("1102",Z$1,$B46)</f>
        <v>0</v>
      </c>
      <c r="AA46" s="7">
        <f ca="1">[1]!b_calc_curve_chinabond("1102",AA$1,$B46)</f>
        <v>0</v>
      </c>
      <c r="AB46" s="7">
        <f ca="1">[1]!b_calc_curve_chinabond("1102",AB$1,$B46)</f>
        <v>1.7369000000000001</v>
      </c>
      <c r="AC46" s="7">
        <f ca="1">[1]!b_calc_curve_chinabond("1102",AC$1,$B46)</f>
        <v>1.7271000000000001</v>
      </c>
      <c r="AD46" s="7">
        <f ca="1">[1]!b_calc_curve_chinabond("1102",AD$1,$B46)</f>
        <v>1.7177</v>
      </c>
      <c r="AE46" s="7">
        <f ca="1">[1]!b_calc_curve_chinabond("1102",AE$1,$B46)</f>
        <v>1.7052</v>
      </c>
      <c r="AF46" s="7">
        <f ca="1">[1]!b_calc_curve_chinabond("1102",AF$1,$B46)</f>
        <v>0</v>
      </c>
      <c r="AG46" s="7">
        <f ca="1">[1]!b_calc_curve_chinabond("1102",AG$1,$B46)</f>
        <v>0</v>
      </c>
      <c r="AH46" s="7">
        <f ca="1">[1]!b_calc_curve_chinabond("1102",AH$1,$B46)</f>
        <v>0</v>
      </c>
      <c r="AI46" s="7">
        <f ca="1">[1]!b_calc_curve_chinabond("1102",AI$1,$B46)</f>
        <v>0</v>
      </c>
    </row>
    <row r="47" spans="1:35" ht="19.5" customHeight="1">
      <c r="A47" s="3" t="s">
        <v>47</v>
      </c>
      <c r="B47" s="4">
        <v>3.9</v>
      </c>
      <c r="C47" s="7">
        <f ca="1">[1]!b_calc_curve_chinabond("1102",C$1,$B47)</f>
        <v>1.7402</v>
      </c>
      <c r="D47" s="7">
        <f ca="1">[1]!b_calc_curve_chinabond("1102",D$1,$B47)</f>
        <v>1.7379</v>
      </c>
      <c r="E47" s="7">
        <f ca="1">[1]!b_calc_curve_chinabond("1102",E$1,$B47)</f>
        <v>0</v>
      </c>
      <c r="F47" s="7">
        <f ca="1">[1]!b_calc_curve_chinabond("1102",F$1,$B47)</f>
        <v>0</v>
      </c>
      <c r="G47" s="7">
        <f ca="1">[1]!b_calc_curve_chinabond("1102",G$1,$B47)</f>
        <v>1.7339</v>
      </c>
      <c r="H47" s="7">
        <f ca="1">[1]!b_calc_curve_chinabond("1102",H$1,$B47)</f>
        <v>1.7264999999999999</v>
      </c>
      <c r="I47" s="7">
        <f ca="1">[1]!b_calc_curve_chinabond("1102",I$1,$B47)</f>
        <v>1.716</v>
      </c>
      <c r="J47" s="7">
        <f ca="1">[1]!b_calc_curve_chinabond("1102",J$1,$B47)</f>
        <v>1.7018</v>
      </c>
      <c r="K47" s="7">
        <f ca="1">[1]!b_calc_curve_chinabond("1102",K$1,$B47)</f>
        <v>1.6976</v>
      </c>
      <c r="L47" s="7">
        <f ca="1">[1]!b_calc_curve_chinabond("1102",L$1,$B47)</f>
        <v>0</v>
      </c>
      <c r="M47" s="7">
        <f ca="1">[1]!b_calc_curve_chinabond("1102",M$1,$B47)</f>
        <v>0</v>
      </c>
      <c r="N47" s="7">
        <f ca="1">[1]!b_calc_curve_chinabond("1102",N$1,$B47)</f>
        <v>1.6914</v>
      </c>
      <c r="O47" s="7">
        <f ca="1">[1]!b_calc_curve_chinabond("1102",O$1,$B47)</f>
        <v>1.6819999999999999</v>
      </c>
      <c r="P47" s="7">
        <f ca="1">[1]!b_calc_curve_chinabond("1102",P$1,$B47)</f>
        <v>1.6787000000000001</v>
      </c>
      <c r="Q47" s="7">
        <f ca="1">[1]!b_calc_curve_chinabond("1102",Q$1,$B47)</f>
        <v>1.6677999999999999</v>
      </c>
      <c r="R47" s="7">
        <f ca="1">[1]!b_calc_curve_chinabond("1102",R$1,$B47)</f>
        <v>1.6736</v>
      </c>
      <c r="S47" s="7">
        <f ca="1">[1]!b_calc_curve_chinabond("1102",S$1,$B47)</f>
        <v>0</v>
      </c>
      <c r="T47" s="7">
        <f ca="1">[1]!b_calc_curve_chinabond("1102",T$1,$B47)</f>
        <v>0</v>
      </c>
      <c r="U47" s="7">
        <f ca="1">[1]!b_calc_curve_chinabond("1102",U$1,$B47)</f>
        <v>1.6763999999999999</v>
      </c>
      <c r="V47" s="7">
        <f ca="1">[1]!b_calc_curve_chinabond("1102",V$1,$B47)</f>
        <v>1.6930000000000001</v>
      </c>
      <c r="W47" s="7">
        <f ca="1">[1]!b_calc_curve_chinabond("1102",W$1,$B47)</f>
        <v>1.7031000000000001</v>
      </c>
      <c r="X47" s="7">
        <f ca="1">[1]!b_calc_curve_chinabond("1102",X$1,$B47)</f>
        <v>1.7282</v>
      </c>
      <c r="Y47" s="7">
        <f ca="1">[1]!b_calc_curve_chinabond("1102",Y$1,$B47)</f>
        <v>1.7385999999999999</v>
      </c>
      <c r="Z47" s="7">
        <f ca="1">[1]!b_calc_curve_chinabond("1102",Z$1,$B47)</f>
        <v>0</v>
      </c>
      <c r="AA47" s="7">
        <f ca="1">[1]!b_calc_curve_chinabond("1102",AA$1,$B47)</f>
        <v>0</v>
      </c>
      <c r="AB47" s="7">
        <f ca="1">[1]!b_calc_curve_chinabond("1102",AB$1,$B47)</f>
        <v>1.7418</v>
      </c>
      <c r="AC47" s="7">
        <f ca="1">[1]!b_calc_curve_chinabond("1102",AC$1,$B47)</f>
        <v>1.7309000000000001</v>
      </c>
      <c r="AD47" s="7">
        <f ca="1">[1]!b_calc_curve_chinabond("1102",AD$1,$B47)</f>
        <v>1.7217</v>
      </c>
      <c r="AE47" s="7">
        <f ca="1">[1]!b_calc_curve_chinabond("1102",AE$1,$B47)</f>
        <v>1.7095</v>
      </c>
      <c r="AF47" s="7">
        <f ca="1">[1]!b_calc_curve_chinabond("1102",AF$1,$B47)</f>
        <v>0</v>
      </c>
      <c r="AG47" s="7">
        <f ca="1">[1]!b_calc_curve_chinabond("1102",AG$1,$B47)</f>
        <v>0</v>
      </c>
      <c r="AH47" s="7">
        <f ca="1">[1]!b_calc_curve_chinabond("1102",AH$1,$B47)</f>
        <v>0</v>
      </c>
      <c r="AI47" s="7">
        <f ca="1">[1]!b_calc_curve_chinabond("1102",AI$1,$B47)</f>
        <v>0</v>
      </c>
    </row>
    <row r="48" spans="1:35" ht="19.5" customHeight="1">
      <c r="A48" s="1" t="s">
        <v>48</v>
      </c>
      <c r="B48" s="2">
        <v>4</v>
      </c>
      <c r="C48" s="7">
        <f ca="1">[1]!b_calc_curve_chinabond("1102",C$1,$B48)</f>
        <v>1.7481</v>
      </c>
      <c r="D48" s="7">
        <f ca="1">[1]!b_calc_curve_chinabond("1102",D$1,$B48)</f>
        <v>1.7459</v>
      </c>
      <c r="E48" s="7">
        <f ca="1">[1]!b_calc_curve_chinabond("1102",E$1,$B48)</f>
        <v>0</v>
      </c>
      <c r="F48" s="7">
        <f ca="1">[1]!b_calc_curve_chinabond("1102",F$1,$B48)</f>
        <v>0</v>
      </c>
      <c r="G48" s="7">
        <f ca="1">[1]!b_calc_curve_chinabond("1102",G$1,$B48)</f>
        <v>1.7422</v>
      </c>
      <c r="H48" s="7">
        <f ca="1">[1]!b_calc_curve_chinabond("1102",H$1,$B48)</f>
        <v>1.7345999999999999</v>
      </c>
      <c r="I48" s="7">
        <f ca="1">[1]!b_calc_curve_chinabond("1102",I$1,$B48)</f>
        <v>1.7236</v>
      </c>
      <c r="J48" s="7">
        <f ca="1">[1]!b_calc_curve_chinabond("1102",J$1,$B48)</f>
        <v>1.7092000000000001</v>
      </c>
      <c r="K48" s="7">
        <f ca="1">[1]!b_calc_curve_chinabond("1102",K$1,$B48)</f>
        <v>1.7051000000000001</v>
      </c>
      <c r="L48" s="7">
        <f ca="1">[1]!b_calc_curve_chinabond("1102",L$1,$B48)</f>
        <v>0</v>
      </c>
      <c r="M48" s="7">
        <f ca="1">[1]!b_calc_curve_chinabond("1102",M$1,$B48)</f>
        <v>0</v>
      </c>
      <c r="N48" s="7">
        <f ca="1">[1]!b_calc_curve_chinabond("1102",N$1,$B48)</f>
        <v>1.6991000000000001</v>
      </c>
      <c r="O48" s="7">
        <f ca="1">[1]!b_calc_curve_chinabond("1102",O$1,$B48)</f>
        <v>1.6895</v>
      </c>
      <c r="P48" s="7">
        <f ca="1">[1]!b_calc_curve_chinabond("1102",P$1,$B48)</f>
        <v>1.6857</v>
      </c>
      <c r="Q48" s="7">
        <f ca="1">[1]!b_calc_curve_chinabond("1102",Q$1,$B48)</f>
        <v>1.6739999999999999</v>
      </c>
      <c r="R48" s="7">
        <f ca="1">[1]!b_calc_curve_chinabond("1102",R$1,$B48)</f>
        <v>1.6807000000000001</v>
      </c>
      <c r="S48" s="7">
        <f ca="1">[1]!b_calc_curve_chinabond("1102",S$1,$B48)</f>
        <v>0</v>
      </c>
      <c r="T48" s="7">
        <f ca="1">[1]!b_calc_curve_chinabond("1102",T$1,$B48)</f>
        <v>0</v>
      </c>
      <c r="U48" s="7">
        <f ca="1">[1]!b_calc_curve_chinabond("1102",U$1,$B48)</f>
        <v>1.6811</v>
      </c>
      <c r="V48" s="7">
        <f ca="1">[1]!b_calc_curve_chinabond("1102",V$1,$B48)</f>
        <v>1.6981999999999999</v>
      </c>
      <c r="W48" s="7">
        <f ca="1">[1]!b_calc_curve_chinabond("1102",W$1,$B48)</f>
        <v>1.7081999999999999</v>
      </c>
      <c r="X48" s="7">
        <f ca="1">[1]!b_calc_curve_chinabond("1102",X$1,$B48)</f>
        <v>1.7335</v>
      </c>
      <c r="Y48" s="7">
        <f ca="1">[1]!b_calc_curve_chinabond("1102",Y$1,$B48)</f>
        <v>1.7432000000000001</v>
      </c>
      <c r="Z48" s="7">
        <f ca="1">[1]!b_calc_curve_chinabond("1102",Z$1,$B48)</f>
        <v>0</v>
      </c>
      <c r="AA48" s="7">
        <f ca="1">[1]!b_calc_curve_chinabond("1102",AA$1,$B48)</f>
        <v>0</v>
      </c>
      <c r="AB48" s="7">
        <f ca="1">[1]!b_calc_curve_chinabond("1102",AB$1,$B48)</f>
        <v>1.7470000000000001</v>
      </c>
      <c r="AC48" s="7">
        <f ca="1">[1]!b_calc_curve_chinabond("1102",AC$1,$B48)</f>
        <v>1.7351000000000001</v>
      </c>
      <c r="AD48" s="7">
        <f ca="1">[1]!b_calc_curve_chinabond("1102",AD$1,$B48)</f>
        <v>1.7261</v>
      </c>
      <c r="AE48" s="7">
        <f ca="1">[1]!b_calc_curve_chinabond("1102",AE$1,$B48)</f>
        <v>1.7141999999999999</v>
      </c>
      <c r="AF48" s="7">
        <f ca="1">[1]!b_calc_curve_chinabond("1102",AF$1,$B48)</f>
        <v>0</v>
      </c>
      <c r="AG48" s="7">
        <f ca="1">[1]!b_calc_curve_chinabond("1102",AG$1,$B48)</f>
        <v>0</v>
      </c>
      <c r="AH48" s="7">
        <f ca="1">[1]!b_calc_curve_chinabond("1102",AH$1,$B48)</f>
        <v>0</v>
      </c>
      <c r="AI48" s="7">
        <f ca="1">[1]!b_calc_curve_chinabond("1102",AI$1,$B48)</f>
        <v>0</v>
      </c>
    </row>
    <row r="49" spans="1:35" ht="19.5" customHeight="1">
      <c r="A49" s="3" t="s">
        <v>49</v>
      </c>
      <c r="B49" s="4">
        <v>4.0999999999999996</v>
      </c>
      <c r="C49" s="7">
        <f ca="1">[1]!b_calc_curve_chinabond("1102",C$1,$B49)</f>
        <v>1.7558</v>
      </c>
      <c r="D49" s="7">
        <f ca="1">[1]!b_calc_curve_chinabond("1102",D$1,$B49)</f>
        <v>1.7537</v>
      </c>
      <c r="E49" s="7">
        <f ca="1">[1]!b_calc_curve_chinabond("1102",E$1,$B49)</f>
        <v>0</v>
      </c>
      <c r="F49" s="7">
        <f ca="1">[1]!b_calc_curve_chinabond("1102",F$1,$B49)</f>
        <v>0</v>
      </c>
      <c r="G49" s="7">
        <f ca="1">[1]!b_calc_curve_chinabond("1102",G$1,$B49)</f>
        <v>1.7503</v>
      </c>
      <c r="H49" s="7">
        <f ca="1">[1]!b_calc_curve_chinabond("1102",H$1,$B49)</f>
        <v>1.7423</v>
      </c>
      <c r="I49" s="7">
        <f ca="1">[1]!b_calc_curve_chinabond("1102",I$1,$B49)</f>
        <v>1.7310000000000001</v>
      </c>
      <c r="J49" s="7">
        <f ca="1">[1]!b_calc_curve_chinabond("1102",J$1,$B49)</f>
        <v>1.7165999999999999</v>
      </c>
      <c r="K49" s="7">
        <f ca="1">[1]!b_calc_curve_chinabond("1102",K$1,$B49)</f>
        <v>1.7123999999999999</v>
      </c>
      <c r="L49" s="7">
        <f ca="1">[1]!b_calc_curve_chinabond("1102",L$1,$B49)</f>
        <v>0</v>
      </c>
      <c r="M49" s="7">
        <f ca="1">[1]!b_calc_curve_chinabond("1102",M$1,$B49)</f>
        <v>0</v>
      </c>
      <c r="N49" s="7">
        <f ca="1">[1]!b_calc_curve_chinabond("1102",N$1,$B49)</f>
        <v>1.7064999999999999</v>
      </c>
      <c r="O49" s="7">
        <f ca="1">[1]!b_calc_curve_chinabond("1102",O$1,$B49)</f>
        <v>1.6968000000000001</v>
      </c>
      <c r="P49" s="7">
        <f ca="1">[1]!b_calc_curve_chinabond("1102",P$1,$B49)</f>
        <v>1.6926000000000001</v>
      </c>
      <c r="Q49" s="7">
        <f ca="1">[1]!b_calc_curve_chinabond("1102",Q$1,$B49)</f>
        <v>1.6803999999999999</v>
      </c>
      <c r="R49" s="7">
        <f ca="1">[1]!b_calc_curve_chinabond("1102",R$1,$B49)</f>
        <v>1.6874</v>
      </c>
      <c r="S49" s="7">
        <f ca="1">[1]!b_calc_curve_chinabond("1102",S$1,$B49)</f>
        <v>0</v>
      </c>
      <c r="T49" s="7">
        <f ca="1">[1]!b_calc_curve_chinabond("1102",T$1,$B49)</f>
        <v>0</v>
      </c>
      <c r="U49" s="7">
        <f ca="1">[1]!b_calc_curve_chinabond("1102",U$1,$B49)</f>
        <v>1.6866000000000001</v>
      </c>
      <c r="V49" s="7">
        <f ca="1">[1]!b_calc_curve_chinabond("1102",V$1,$B49)</f>
        <v>1.7041999999999999</v>
      </c>
      <c r="W49" s="7">
        <f ca="1">[1]!b_calc_curve_chinabond("1102",W$1,$B49)</f>
        <v>1.7141</v>
      </c>
      <c r="X49" s="7">
        <f ca="1">[1]!b_calc_curve_chinabond("1102",X$1,$B49)</f>
        <v>1.7396</v>
      </c>
      <c r="Y49" s="7">
        <f ca="1">[1]!b_calc_curve_chinabond("1102",Y$1,$B49)</f>
        <v>1.7488999999999999</v>
      </c>
      <c r="Z49" s="7">
        <f ca="1">[1]!b_calc_curve_chinabond("1102",Z$1,$B49)</f>
        <v>0</v>
      </c>
      <c r="AA49" s="7">
        <f ca="1">[1]!b_calc_curve_chinabond("1102",AA$1,$B49)</f>
        <v>0</v>
      </c>
      <c r="AB49" s="7">
        <f ca="1">[1]!b_calc_curve_chinabond("1102",AB$1,$B49)</f>
        <v>1.7528999999999999</v>
      </c>
      <c r="AC49" s="7">
        <f ca="1">[1]!b_calc_curve_chinabond("1102",AC$1,$B49)</f>
        <v>1.7403999999999999</v>
      </c>
      <c r="AD49" s="7">
        <f ca="1">[1]!b_calc_curve_chinabond("1102",AD$1,$B49)</f>
        <v>1.7315</v>
      </c>
      <c r="AE49" s="7">
        <f ca="1">[1]!b_calc_curve_chinabond("1102",AE$1,$B49)</f>
        <v>1.7198</v>
      </c>
      <c r="AF49" s="7">
        <f ca="1">[1]!b_calc_curve_chinabond("1102",AF$1,$B49)</f>
        <v>0</v>
      </c>
      <c r="AG49" s="7">
        <f ca="1">[1]!b_calc_curve_chinabond("1102",AG$1,$B49)</f>
        <v>0</v>
      </c>
      <c r="AH49" s="7">
        <f ca="1">[1]!b_calc_curve_chinabond("1102",AH$1,$B49)</f>
        <v>0</v>
      </c>
      <c r="AI49" s="7">
        <f ca="1">[1]!b_calc_curve_chinabond("1102",AI$1,$B49)</f>
        <v>0</v>
      </c>
    </row>
    <row r="50" spans="1:35" ht="19.5" customHeight="1">
      <c r="A50" s="1" t="s">
        <v>50</v>
      </c>
      <c r="B50" s="2">
        <v>4.2</v>
      </c>
      <c r="C50" s="7">
        <f ca="1">[1]!b_calc_curve_chinabond("1102",C$1,$B50)</f>
        <v>1.7635000000000001</v>
      </c>
      <c r="D50" s="7">
        <f ca="1">[1]!b_calc_curve_chinabond("1102",D$1,$B50)</f>
        <v>1.7614000000000001</v>
      </c>
      <c r="E50" s="7">
        <f ca="1">[1]!b_calc_curve_chinabond("1102",E$1,$B50)</f>
        <v>0</v>
      </c>
      <c r="F50" s="7">
        <f ca="1">[1]!b_calc_curve_chinabond("1102",F$1,$B50)</f>
        <v>0</v>
      </c>
      <c r="G50" s="7">
        <f ca="1">[1]!b_calc_curve_chinabond("1102",G$1,$B50)</f>
        <v>1.7581</v>
      </c>
      <c r="H50" s="7">
        <f ca="1">[1]!b_calc_curve_chinabond("1102",H$1,$B50)</f>
        <v>1.7497</v>
      </c>
      <c r="I50" s="7">
        <f ca="1">[1]!b_calc_curve_chinabond("1102",I$1,$B50)</f>
        <v>1.7384999999999999</v>
      </c>
      <c r="J50" s="7">
        <f ca="1">[1]!b_calc_curve_chinabond("1102",J$1,$B50)</f>
        <v>1.7242999999999999</v>
      </c>
      <c r="K50" s="7">
        <f ca="1">[1]!b_calc_curve_chinabond("1102",K$1,$B50)</f>
        <v>1.7197</v>
      </c>
      <c r="L50" s="7">
        <f ca="1">[1]!b_calc_curve_chinabond("1102",L$1,$B50)</f>
        <v>0</v>
      </c>
      <c r="M50" s="7">
        <f ca="1">[1]!b_calc_curve_chinabond("1102",M$1,$B50)</f>
        <v>0</v>
      </c>
      <c r="N50" s="7">
        <f ca="1">[1]!b_calc_curve_chinabond("1102",N$1,$B50)</f>
        <v>1.7136</v>
      </c>
      <c r="O50" s="7">
        <f ca="1">[1]!b_calc_curve_chinabond("1102",O$1,$B50)</f>
        <v>1.704</v>
      </c>
      <c r="P50" s="7">
        <f ca="1">[1]!b_calc_curve_chinabond("1102",P$1,$B50)</f>
        <v>1.6994</v>
      </c>
      <c r="Q50" s="7">
        <f ca="1">[1]!b_calc_curve_chinabond("1102",Q$1,$B50)</f>
        <v>1.6870000000000001</v>
      </c>
      <c r="R50" s="7">
        <f ca="1">[1]!b_calc_curve_chinabond("1102",R$1,$B50)</f>
        <v>1.6935</v>
      </c>
      <c r="S50" s="7">
        <f ca="1">[1]!b_calc_curve_chinabond("1102",S$1,$B50)</f>
        <v>0</v>
      </c>
      <c r="T50" s="7">
        <f ca="1">[1]!b_calc_curve_chinabond("1102",T$1,$B50)</f>
        <v>0</v>
      </c>
      <c r="U50" s="7">
        <f ca="1">[1]!b_calc_curve_chinabond("1102",U$1,$B50)</f>
        <v>1.6931</v>
      </c>
      <c r="V50" s="7">
        <f ca="1">[1]!b_calc_curve_chinabond("1102",V$1,$B50)</f>
        <v>1.7115</v>
      </c>
      <c r="W50" s="7">
        <f ca="1">[1]!b_calc_curve_chinabond("1102",W$1,$B50)</f>
        <v>1.7215</v>
      </c>
      <c r="X50" s="7">
        <f ca="1">[1]!b_calc_curve_chinabond("1102",X$1,$B50)</f>
        <v>1.7475000000000001</v>
      </c>
      <c r="Y50" s="7">
        <f ca="1">[1]!b_calc_curve_chinabond("1102",Y$1,$B50)</f>
        <v>1.7562</v>
      </c>
      <c r="Z50" s="7">
        <f ca="1">[1]!b_calc_curve_chinabond("1102",Z$1,$B50)</f>
        <v>0</v>
      </c>
      <c r="AA50" s="7">
        <f ca="1">[1]!b_calc_curve_chinabond("1102",AA$1,$B50)</f>
        <v>0</v>
      </c>
      <c r="AB50" s="7">
        <f ca="1">[1]!b_calc_curve_chinabond("1102",AB$1,$B50)</f>
        <v>1.7602</v>
      </c>
      <c r="AC50" s="7">
        <f ca="1">[1]!b_calc_curve_chinabond("1102",AC$1,$B50)</f>
        <v>1.7473000000000001</v>
      </c>
      <c r="AD50" s="7">
        <f ca="1">[1]!b_calc_curve_chinabond("1102",AD$1,$B50)</f>
        <v>1.7381</v>
      </c>
      <c r="AE50" s="7">
        <f ca="1">[1]!b_calc_curve_chinabond("1102",AE$1,$B50)</f>
        <v>1.7265999999999999</v>
      </c>
      <c r="AF50" s="7">
        <f ca="1">[1]!b_calc_curve_chinabond("1102",AF$1,$B50)</f>
        <v>0</v>
      </c>
      <c r="AG50" s="7">
        <f ca="1">[1]!b_calc_curve_chinabond("1102",AG$1,$B50)</f>
        <v>0</v>
      </c>
      <c r="AH50" s="7">
        <f ca="1">[1]!b_calc_curve_chinabond("1102",AH$1,$B50)</f>
        <v>0</v>
      </c>
      <c r="AI50" s="7">
        <f ca="1">[1]!b_calc_curve_chinabond("1102",AI$1,$B50)</f>
        <v>0</v>
      </c>
    </row>
    <row r="51" spans="1:35" ht="19.5" customHeight="1">
      <c r="A51" s="3" t="s">
        <v>51</v>
      </c>
      <c r="B51" s="4">
        <v>4.3</v>
      </c>
      <c r="C51" s="7">
        <f ca="1">[1]!b_calc_curve_chinabond("1102",C$1,$B51)</f>
        <v>1.7710999999999999</v>
      </c>
      <c r="D51" s="7">
        <f ca="1">[1]!b_calc_curve_chinabond("1102",D$1,$B51)</f>
        <v>1.7689999999999999</v>
      </c>
      <c r="E51" s="7">
        <f ca="1">[1]!b_calc_curve_chinabond("1102",E$1,$B51)</f>
        <v>0</v>
      </c>
      <c r="F51" s="7">
        <f ca="1">[1]!b_calc_curve_chinabond("1102",F$1,$B51)</f>
        <v>0</v>
      </c>
      <c r="G51" s="7">
        <f ca="1">[1]!b_calc_curve_chinabond("1102",G$1,$B51)</f>
        <v>1.7658</v>
      </c>
      <c r="H51" s="7">
        <f ca="1">[1]!b_calc_curve_chinabond("1102",H$1,$B51)</f>
        <v>1.7567999999999999</v>
      </c>
      <c r="I51" s="7">
        <f ca="1">[1]!b_calc_curve_chinabond("1102",I$1,$B51)</f>
        <v>1.746</v>
      </c>
      <c r="J51" s="7">
        <f ca="1">[1]!b_calc_curve_chinabond("1102",J$1,$B51)</f>
        <v>1.7322</v>
      </c>
      <c r="K51" s="7">
        <f ca="1">[1]!b_calc_curve_chinabond("1102",K$1,$B51)</f>
        <v>1.7270000000000001</v>
      </c>
      <c r="L51" s="7">
        <f ca="1">[1]!b_calc_curve_chinabond("1102",L$1,$B51)</f>
        <v>0</v>
      </c>
      <c r="M51" s="7">
        <f ca="1">[1]!b_calc_curve_chinabond("1102",M$1,$B51)</f>
        <v>0</v>
      </c>
      <c r="N51" s="7">
        <f ca="1">[1]!b_calc_curve_chinabond("1102",N$1,$B51)</f>
        <v>1.7205999999999999</v>
      </c>
      <c r="O51" s="7">
        <f ca="1">[1]!b_calc_curve_chinabond("1102",O$1,$B51)</f>
        <v>1.7112000000000001</v>
      </c>
      <c r="P51" s="7">
        <f ca="1">[1]!b_calc_curve_chinabond("1102",P$1,$B51)</f>
        <v>1.7061999999999999</v>
      </c>
      <c r="Q51" s="7">
        <f ca="1">[1]!b_calc_curve_chinabond("1102",Q$1,$B51)</f>
        <v>1.6938</v>
      </c>
      <c r="R51" s="7">
        <f ca="1">[1]!b_calc_curve_chinabond("1102",R$1,$B51)</f>
        <v>1.6992</v>
      </c>
      <c r="S51" s="7">
        <f ca="1">[1]!b_calc_curve_chinabond("1102",S$1,$B51)</f>
        <v>0</v>
      </c>
      <c r="T51" s="7">
        <f ca="1">[1]!b_calc_curve_chinabond("1102",T$1,$B51)</f>
        <v>0</v>
      </c>
      <c r="U51" s="7">
        <f ca="1">[1]!b_calc_curve_chinabond("1102",U$1,$B51)</f>
        <v>1.7004999999999999</v>
      </c>
      <c r="V51" s="7">
        <f ca="1">[1]!b_calc_curve_chinabond("1102",V$1,$B51)</f>
        <v>1.72</v>
      </c>
      <c r="W51" s="7">
        <f ca="1">[1]!b_calc_curve_chinabond("1102",W$1,$B51)</f>
        <v>1.7302999999999999</v>
      </c>
      <c r="X51" s="7">
        <f ca="1">[1]!b_calc_curve_chinabond("1102",X$1,$B51)</f>
        <v>1.7566999999999999</v>
      </c>
      <c r="Y51" s="7">
        <f ca="1">[1]!b_calc_curve_chinabond("1102",Y$1,$B51)</f>
        <v>1.7647999999999999</v>
      </c>
      <c r="Z51" s="7">
        <f ca="1">[1]!b_calc_curve_chinabond("1102",Z$1,$B51)</f>
        <v>0</v>
      </c>
      <c r="AA51" s="7">
        <f ca="1">[1]!b_calc_curve_chinabond("1102",AA$1,$B51)</f>
        <v>0</v>
      </c>
      <c r="AB51" s="7">
        <f ca="1">[1]!b_calc_curve_chinabond("1102",AB$1,$B51)</f>
        <v>1.7685999999999999</v>
      </c>
      <c r="AC51" s="7">
        <f ca="1">[1]!b_calc_curve_chinabond("1102",AC$1,$B51)</f>
        <v>1.7556</v>
      </c>
      <c r="AD51" s="7">
        <f ca="1">[1]!b_calc_curve_chinabond("1102",AD$1,$B51)</f>
        <v>1.7458</v>
      </c>
      <c r="AE51" s="7">
        <f ca="1">[1]!b_calc_curve_chinabond("1102",AE$1,$B51)</f>
        <v>1.7343999999999999</v>
      </c>
      <c r="AF51" s="7">
        <f ca="1">[1]!b_calc_curve_chinabond("1102",AF$1,$B51)</f>
        <v>0</v>
      </c>
      <c r="AG51" s="7">
        <f ca="1">[1]!b_calc_curve_chinabond("1102",AG$1,$B51)</f>
        <v>0</v>
      </c>
      <c r="AH51" s="7">
        <f ca="1">[1]!b_calc_curve_chinabond("1102",AH$1,$B51)</f>
        <v>0</v>
      </c>
      <c r="AI51" s="7">
        <f ca="1">[1]!b_calc_curve_chinabond("1102",AI$1,$B51)</f>
        <v>0</v>
      </c>
    </row>
    <row r="52" spans="1:35" ht="19.5" customHeight="1">
      <c r="A52" s="1" t="s">
        <v>52</v>
      </c>
      <c r="B52" s="2">
        <v>4.4000000000000004</v>
      </c>
      <c r="C52" s="7">
        <f ca="1">[1]!b_calc_curve_chinabond("1102",C$1,$B52)</f>
        <v>1.7786999999999999</v>
      </c>
      <c r="D52" s="7">
        <f ca="1">[1]!b_calc_curve_chinabond("1102",D$1,$B52)</f>
        <v>1.7766</v>
      </c>
      <c r="E52" s="7">
        <f ca="1">[1]!b_calc_curve_chinabond("1102",E$1,$B52)</f>
        <v>0</v>
      </c>
      <c r="F52" s="7">
        <f ca="1">[1]!b_calc_curve_chinabond("1102",F$1,$B52)</f>
        <v>0</v>
      </c>
      <c r="G52" s="7">
        <f ca="1">[1]!b_calc_curve_chinabond("1102",G$1,$B52)</f>
        <v>1.7734000000000001</v>
      </c>
      <c r="H52" s="7">
        <f ca="1">[1]!b_calc_curve_chinabond("1102",H$1,$B52)</f>
        <v>1.7637</v>
      </c>
      <c r="I52" s="7">
        <f ca="1">[1]!b_calc_curve_chinabond("1102",I$1,$B52)</f>
        <v>1.7535000000000001</v>
      </c>
      <c r="J52" s="7">
        <f ca="1">[1]!b_calc_curve_chinabond("1102",J$1,$B52)</f>
        <v>1.7402</v>
      </c>
      <c r="K52" s="7">
        <f ca="1">[1]!b_calc_curve_chinabond("1102",K$1,$B52)</f>
        <v>1.7342</v>
      </c>
      <c r="L52" s="7">
        <f ca="1">[1]!b_calc_curve_chinabond("1102",L$1,$B52)</f>
        <v>0</v>
      </c>
      <c r="M52" s="7">
        <f ca="1">[1]!b_calc_curve_chinabond("1102",M$1,$B52)</f>
        <v>0</v>
      </c>
      <c r="N52" s="7">
        <f ca="1">[1]!b_calc_curve_chinabond("1102",N$1,$B52)</f>
        <v>1.7274</v>
      </c>
      <c r="O52" s="7">
        <f ca="1">[1]!b_calc_curve_chinabond("1102",O$1,$B52)</f>
        <v>1.7182999999999999</v>
      </c>
      <c r="P52" s="7">
        <f ca="1">[1]!b_calc_curve_chinabond("1102",P$1,$B52)</f>
        <v>1.7130000000000001</v>
      </c>
      <c r="Q52" s="7">
        <f ca="1">[1]!b_calc_curve_chinabond("1102",Q$1,$B52)</f>
        <v>1.7009000000000001</v>
      </c>
      <c r="R52" s="7">
        <f ca="1">[1]!b_calc_curve_chinabond("1102",R$1,$B52)</f>
        <v>1.7045999999999999</v>
      </c>
      <c r="S52" s="7">
        <f ca="1">[1]!b_calc_curve_chinabond("1102",S$1,$B52)</f>
        <v>0</v>
      </c>
      <c r="T52" s="7">
        <f ca="1">[1]!b_calc_curve_chinabond("1102",T$1,$B52)</f>
        <v>0</v>
      </c>
      <c r="U52" s="7">
        <f ca="1">[1]!b_calc_curve_chinabond("1102",U$1,$B52)</f>
        <v>1.7085999999999999</v>
      </c>
      <c r="V52" s="7">
        <f ca="1">[1]!b_calc_curve_chinabond("1102",V$1,$B52)</f>
        <v>1.7293000000000001</v>
      </c>
      <c r="W52" s="7">
        <f ca="1">[1]!b_calc_curve_chinabond("1102",W$1,$B52)</f>
        <v>1.74</v>
      </c>
      <c r="X52" s="7">
        <f ca="1">[1]!b_calc_curve_chinabond("1102",X$1,$B52)</f>
        <v>1.7668999999999999</v>
      </c>
      <c r="Y52" s="7">
        <f ca="1">[1]!b_calc_curve_chinabond("1102",Y$1,$B52)</f>
        <v>1.7745</v>
      </c>
      <c r="Z52" s="7">
        <f ca="1">[1]!b_calc_curve_chinabond("1102",Z$1,$B52)</f>
        <v>0</v>
      </c>
      <c r="AA52" s="7">
        <f ca="1">[1]!b_calc_curve_chinabond("1102",AA$1,$B52)</f>
        <v>0</v>
      </c>
      <c r="AB52" s="7">
        <f ca="1">[1]!b_calc_curve_chinabond("1102",AB$1,$B52)</f>
        <v>1.7778</v>
      </c>
      <c r="AC52" s="7">
        <f ca="1">[1]!b_calc_curve_chinabond("1102",AC$1,$B52)</f>
        <v>1.7648999999999999</v>
      </c>
      <c r="AD52" s="7">
        <f ca="1">[1]!b_calc_curve_chinabond("1102",AD$1,$B52)</f>
        <v>1.7543</v>
      </c>
      <c r="AE52" s="7">
        <f ca="1">[1]!b_calc_curve_chinabond("1102",AE$1,$B52)</f>
        <v>1.7428999999999999</v>
      </c>
      <c r="AF52" s="7">
        <f ca="1">[1]!b_calc_curve_chinabond("1102",AF$1,$B52)</f>
        <v>0</v>
      </c>
      <c r="AG52" s="7">
        <f ca="1">[1]!b_calc_curve_chinabond("1102",AG$1,$B52)</f>
        <v>0</v>
      </c>
      <c r="AH52" s="7">
        <f ca="1">[1]!b_calc_curve_chinabond("1102",AH$1,$B52)</f>
        <v>0</v>
      </c>
      <c r="AI52" s="7">
        <f ca="1">[1]!b_calc_curve_chinabond("1102",AI$1,$B52)</f>
        <v>0</v>
      </c>
    </row>
    <row r="53" spans="1:35" ht="19.5" customHeight="1">
      <c r="A53" s="3" t="s">
        <v>53</v>
      </c>
      <c r="B53" s="4">
        <v>4.5</v>
      </c>
      <c r="C53" s="7">
        <f ca="1">[1]!b_calc_curve_chinabond("1102",C$1,$B53)</f>
        <v>1.7863</v>
      </c>
      <c r="D53" s="7">
        <f ca="1">[1]!b_calc_curve_chinabond("1102",D$1,$B53)</f>
        <v>1.7841</v>
      </c>
      <c r="E53" s="7">
        <f ca="1">[1]!b_calc_curve_chinabond("1102",E$1,$B53)</f>
        <v>0</v>
      </c>
      <c r="F53" s="7">
        <f ca="1">[1]!b_calc_curve_chinabond("1102",F$1,$B53)</f>
        <v>0</v>
      </c>
      <c r="G53" s="7">
        <f ca="1">[1]!b_calc_curve_chinabond("1102",G$1,$B53)</f>
        <v>1.7808999999999999</v>
      </c>
      <c r="H53" s="7">
        <f ca="1">[1]!b_calc_curve_chinabond("1102",H$1,$B53)</f>
        <v>1.7705</v>
      </c>
      <c r="I53" s="7">
        <f ca="1">[1]!b_calc_curve_chinabond("1102",I$1,$B53)</f>
        <v>1.7609999999999999</v>
      </c>
      <c r="J53" s="7">
        <f ca="1">[1]!b_calc_curve_chinabond("1102",J$1,$B53)</f>
        <v>1.7484</v>
      </c>
      <c r="K53" s="7">
        <f ca="1">[1]!b_calc_curve_chinabond("1102",K$1,$B53)</f>
        <v>1.7415</v>
      </c>
      <c r="L53" s="7">
        <f ca="1">[1]!b_calc_curve_chinabond("1102",L$1,$B53)</f>
        <v>0</v>
      </c>
      <c r="M53" s="7">
        <f ca="1">[1]!b_calc_curve_chinabond("1102",M$1,$B53)</f>
        <v>0</v>
      </c>
      <c r="N53" s="7">
        <f ca="1">[1]!b_calc_curve_chinabond("1102",N$1,$B53)</f>
        <v>1.734</v>
      </c>
      <c r="O53" s="7">
        <f ca="1">[1]!b_calc_curve_chinabond("1102",O$1,$B53)</f>
        <v>1.7253000000000001</v>
      </c>
      <c r="P53" s="7">
        <f ca="1">[1]!b_calc_curve_chinabond("1102",P$1,$B53)</f>
        <v>1.7197</v>
      </c>
      <c r="Q53" s="7">
        <f ca="1">[1]!b_calc_curve_chinabond("1102",Q$1,$B53)</f>
        <v>1.7081</v>
      </c>
      <c r="R53" s="7">
        <f ca="1">[1]!b_calc_curve_chinabond("1102",R$1,$B53)</f>
        <v>1.7096</v>
      </c>
      <c r="S53" s="7">
        <f ca="1">[1]!b_calc_curve_chinabond("1102",S$1,$B53)</f>
        <v>0</v>
      </c>
      <c r="T53" s="7">
        <f ca="1">[1]!b_calc_curve_chinabond("1102",T$1,$B53)</f>
        <v>0</v>
      </c>
      <c r="U53" s="7">
        <f ca="1">[1]!b_calc_curve_chinabond("1102",U$1,$B53)</f>
        <v>1.7171000000000001</v>
      </c>
      <c r="V53" s="7">
        <f ca="1">[1]!b_calc_curve_chinabond("1102",V$1,$B53)</f>
        <v>1.7394000000000001</v>
      </c>
      <c r="W53" s="7">
        <f ca="1">[1]!b_calc_curve_chinabond("1102",W$1,$B53)</f>
        <v>1.7504</v>
      </c>
      <c r="X53" s="7">
        <f ca="1">[1]!b_calc_curve_chinabond("1102",X$1,$B53)</f>
        <v>1.7777000000000001</v>
      </c>
      <c r="Y53" s="7">
        <f ca="1">[1]!b_calc_curve_chinabond("1102",Y$1,$B53)</f>
        <v>1.7849999999999999</v>
      </c>
      <c r="Z53" s="7">
        <f ca="1">[1]!b_calc_curve_chinabond("1102",Z$1,$B53)</f>
        <v>0</v>
      </c>
      <c r="AA53" s="7">
        <f ca="1">[1]!b_calc_curve_chinabond("1102",AA$1,$B53)</f>
        <v>0</v>
      </c>
      <c r="AB53" s="7">
        <f ca="1">[1]!b_calc_curve_chinabond("1102",AB$1,$B53)</f>
        <v>1.7876000000000001</v>
      </c>
      <c r="AC53" s="7">
        <f ca="1">[1]!b_calc_curve_chinabond("1102",AC$1,$B53)</f>
        <v>1.7748999999999999</v>
      </c>
      <c r="AD53" s="7">
        <f ca="1">[1]!b_calc_curve_chinabond("1102",AD$1,$B53)</f>
        <v>1.7633000000000001</v>
      </c>
      <c r="AE53" s="7">
        <f ca="1">[1]!b_calc_curve_chinabond("1102",AE$1,$B53)</f>
        <v>1.7518</v>
      </c>
      <c r="AF53" s="7">
        <f ca="1">[1]!b_calc_curve_chinabond("1102",AF$1,$B53)</f>
        <v>0</v>
      </c>
      <c r="AG53" s="7">
        <f ca="1">[1]!b_calc_curve_chinabond("1102",AG$1,$B53)</f>
        <v>0</v>
      </c>
      <c r="AH53" s="7">
        <f ca="1">[1]!b_calc_curve_chinabond("1102",AH$1,$B53)</f>
        <v>0</v>
      </c>
      <c r="AI53" s="7">
        <f ca="1">[1]!b_calc_curve_chinabond("1102",AI$1,$B53)</f>
        <v>0</v>
      </c>
    </row>
    <row r="54" spans="1:35" ht="19.5" customHeight="1">
      <c r="A54" s="1" t="s">
        <v>54</v>
      </c>
      <c r="B54" s="2">
        <v>4.5999999999999996</v>
      </c>
      <c r="C54" s="7">
        <f ca="1">[1]!b_calc_curve_chinabond("1102",C$1,$B54)</f>
        <v>1.7939000000000001</v>
      </c>
      <c r="D54" s="7">
        <f ca="1">[1]!b_calc_curve_chinabond("1102",D$1,$B54)</f>
        <v>1.7916000000000001</v>
      </c>
      <c r="E54" s="7">
        <f ca="1">[1]!b_calc_curve_chinabond("1102",E$1,$B54)</f>
        <v>0</v>
      </c>
      <c r="F54" s="7">
        <f ca="1">[1]!b_calc_curve_chinabond("1102",F$1,$B54)</f>
        <v>0</v>
      </c>
      <c r="G54" s="7">
        <f ca="1">[1]!b_calc_curve_chinabond("1102",G$1,$B54)</f>
        <v>1.7883</v>
      </c>
      <c r="H54" s="7">
        <f ca="1">[1]!b_calc_curve_chinabond("1102",H$1,$B54)</f>
        <v>1.7771999999999999</v>
      </c>
      <c r="I54" s="7">
        <f ca="1">[1]!b_calc_curve_chinabond("1102",I$1,$B54)</f>
        <v>1.7685</v>
      </c>
      <c r="J54" s="7">
        <f ca="1">[1]!b_calc_curve_chinabond("1102",J$1,$B54)</f>
        <v>1.7565999999999999</v>
      </c>
      <c r="K54" s="7">
        <f ca="1">[1]!b_calc_curve_chinabond("1102",K$1,$B54)</f>
        <v>1.7486999999999999</v>
      </c>
      <c r="L54" s="7">
        <f ca="1">[1]!b_calc_curve_chinabond("1102",L$1,$B54)</f>
        <v>0</v>
      </c>
      <c r="M54" s="7">
        <f ca="1">[1]!b_calc_curve_chinabond("1102",M$1,$B54)</f>
        <v>0</v>
      </c>
      <c r="N54" s="7">
        <f ca="1">[1]!b_calc_curve_chinabond("1102",N$1,$B54)</f>
        <v>1.7405999999999999</v>
      </c>
      <c r="O54" s="7">
        <f ca="1">[1]!b_calc_curve_chinabond("1102",O$1,$B54)</f>
        <v>1.7323999999999999</v>
      </c>
      <c r="P54" s="7">
        <f ca="1">[1]!b_calc_curve_chinabond("1102",P$1,$B54)</f>
        <v>1.7264999999999999</v>
      </c>
      <c r="Q54" s="7">
        <f ca="1">[1]!b_calc_curve_chinabond("1102",Q$1,$B54)</f>
        <v>1.7154</v>
      </c>
      <c r="R54" s="7">
        <f ca="1">[1]!b_calc_curve_chinabond("1102",R$1,$B54)</f>
        <v>1.7144999999999999</v>
      </c>
      <c r="S54" s="7">
        <f ca="1">[1]!b_calc_curve_chinabond("1102",S$1,$B54)</f>
        <v>0</v>
      </c>
      <c r="T54" s="7">
        <f ca="1">[1]!b_calc_curve_chinabond("1102",T$1,$B54)</f>
        <v>0</v>
      </c>
      <c r="U54" s="7">
        <f ca="1">[1]!b_calc_curve_chinabond("1102",U$1,$B54)</f>
        <v>1.726</v>
      </c>
      <c r="V54" s="7">
        <f ca="1">[1]!b_calc_curve_chinabond("1102",V$1,$B54)</f>
        <v>1.7498</v>
      </c>
      <c r="W54" s="7">
        <f ca="1">[1]!b_calc_curve_chinabond("1102",W$1,$B54)</f>
        <v>1.7613000000000001</v>
      </c>
      <c r="X54" s="7">
        <f ca="1">[1]!b_calc_curve_chinabond("1102",X$1,$B54)</f>
        <v>1.7887</v>
      </c>
      <c r="Y54" s="7">
        <f ca="1">[1]!b_calc_curve_chinabond("1102",Y$1,$B54)</f>
        <v>1.796</v>
      </c>
      <c r="Z54" s="7">
        <f ca="1">[1]!b_calc_curve_chinabond("1102",Z$1,$B54)</f>
        <v>0</v>
      </c>
      <c r="AA54" s="7">
        <f ca="1">[1]!b_calc_curve_chinabond("1102",AA$1,$B54)</f>
        <v>0</v>
      </c>
      <c r="AB54" s="7">
        <f ca="1">[1]!b_calc_curve_chinabond("1102",AB$1,$B54)</f>
        <v>1.7979000000000001</v>
      </c>
      <c r="AC54" s="7">
        <f ca="1">[1]!b_calc_curve_chinabond("1102",AC$1,$B54)</f>
        <v>1.7853000000000001</v>
      </c>
      <c r="AD54" s="7">
        <f ca="1">[1]!b_calc_curve_chinabond("1102",AD$1,$B54)</f>
        <v>1.7727999999999999</v>
      </c>
      <c r="AE54" s="7">
        <f ca="1">[1]!b_calc_curve_chinabond("1102",AE$1,$B54)</f>
        <v>1.7608999999999999</v>
      </c>
      <c r="AF54" s="7">
        <f ca="1">[1]!b_calc_curve_chinabond("1102",AF$1,$B54)</f>
        <v>0</v>
      </c>
      <c r="AG54" s="7">
        <f ca="1">[1]!b_calc_curve_chinabond("1102",AG$1,$B54)</f>
        <v>0</v>
      </c>
      <c r="AH54" s="7">
        <f ca="1">[1]!b_calc_curve_chinabond("1102",AH$1,$B54)</f>
        <v>0</v>
      </c>
      <c r="AI54" s="7">
        <f ca="1">[1]!b_calc_curve_chinabond("1102",AI$1,$B54)</f>
        <v>0</v>
      </c>
    </row>
    <row r="55" spans="1:35" ht="19.5" customHeight="1">
      <c r="A55" s="3" t="s">
        <v>55</v>
      </c>
      <c r="B55" s="4">
        <v>4.7</v>
      </c>
      <c r="C55" s="7">
        <f ca="1">[1]!b_calc_curve_chinabond("1102",C$1,$B55)</f>
        <v>1.8015000000000001</v>
      </c>
      <c r="D55" s="7">
        <f ca="1">[1]!b_calc_curve_chinabond("1102",D$1,$B55)</f>
        <v>1.7990999999999999</v>
      </c>
      <c r="E55" s="7">
        <f ca="1">[1]!b_calc_curve_chinabond("1102",E$1,$B55)</f>
        <v>0</v>
      </c>
      <c r="F55" s="7">
        <f ca="1">[1]!b_calc_curve_chinabond("1102",F$1,$B55)</f>
        <v>0</v>
      </c>
      <c r="G55" s="7">
        <f ca="1">[1]!b_calc_curve_chinabond("1102",G$1,$B55)</f>
        <v>1.7957000000000001</v>
      </c>
      <c r="H55" s="7">
        <f ca="1">[1]!b_calc_curve_chinabond("1102",H$1,$B55)</f>
        <v>1.7838000000000001</v>
      </c>
      <c r="I55" s="7">
        <f ca="1">[1]!b_calc_curve_chinabond("1102",I$1,$B55)</f>
        <v>1.776</v>
      </c>
      <c r="J55" s="7">
        <f ca="1">[1]!b_calc_curve_chinabond("1102",J$1,$B55)</f>
        <v>1.7648999999999999</v>
      </c>
      <c r="K55" s="7">
        <f ca="1">[1]!b_calc_curve_chinabond("1102",K$1,$B55)</f>
        <v>1.7559</v>
      </c>
      <c r="L55" s="7">
        <f ca="1">[1]!b_calc_curve_chinabond("1102",L$1,$B55)</f>
        <v>0</v>
      </c>
      <c r="M55" s="7">
        <f ca="1">[1]!b_calc_curve_chinabond("1102",M$1,$B55)</f>
        <v>0</v>
      </c>
      <c r="N55" s="7">
        <f ca="1">[1]!b_calc_curve_chinabond("1102",N$1,$B55)</f>
        <v>1.7472000000000001</v>
      </c>
      <c r="O55" s="7">
        <f ca="1">[1]!b_calc_curve_chinabond("1102",O$1,$B55)</f>
        <v>1.7395</v>
      </c>
      <c r="P55" s="7">
        <f ca="1">[1]!b_calc_curve_chinabond("1102",P$1,$B55)</f>
        <v>1.7332000000000001</v>
      </c>
      <c r="Q55" s="7">
        <f ca="1">[1]!b_calc_curve_chinabond("1102",Q$1,$B55)</f>
        <v>1.7228000000000001</v>
      </c>
      <c r="R55" s="7">
        <f ca="1">[1]!b_calc_curve_chinabond("1102",R$1,$B55)</f>
        <v>1.7193000000000001</v>
      </c>
      <c r="S55" s="7">
        <f ca="1">[1]!b_calc_curve_chinabond("1102",S$1,$B55)</f>
        <v>0</v>
      </c>
      <c r="T55" s="7">
        <f ca="1">[1]!b_calc_curve_chinabond("1102",T$1,$B55)</f>
        <v>0</v>
      </c>
      <c r="U55" s="7">
        <f ca="1">[1]!b_calc_curve_chinabond("1102",U$1,$B55)</f>
        <v>1.7350000000000001</v>
      </c>
      <c r="V55" s="7">
        <f ca="1">[1]!b_calc_curve_chinabond("1102",V$1,$B55)</f>
        <v>1.7604</v>
      </c>
      <c r="W55" s="7">
        <f ca="1">[1]!b_calc_curve_chinabond("1102",W$1,$B55)</f>
        <v>1.7724</v>
      </c>
      <c r="X55" s="7">
        <f ca="1">[1]!b_calc_curve_chinabond("1102",X$1,$B55)</f>
        <v>1.7996000000000001</v>
      </c>
      <c r="Y55" s="7">
        <f ca="1">[1]!b_calc_curve_chinabond("1102",Y$1,$B55)</f>
        <v>1.8070999999999999</v>
      </c>
      <c r="Z55" s="7">
        <f ca="1">[1]!b_calc_curve_chinabond("1102",Z$1,$B55)</f>
        <v>0</v>
      </c>
      <c r="AA55" s="7">
        <f ca="1">[1]!b_calc_curve_chinabond("1102",AA$1,$B55)</f>
        <v>0</v>
      </c>
      <c r="AB55" s="7">
        <f ca="1">[1]!b_calc_curve_chinabond("1102",AB$1,$B55)</f>
        <v>1.8083</v>
      </c>
      <c r="AC55" s="7">
        <f ca="1">[1]!b_calc_curve_chinabond("1102",AC$1,$B55)</f>
        <v>1.7958000000000001</v>
      </c>
      <c r="AD55" s="7">
        <f ca="1">[1]!b_calc_curve_chinabond("1102",AD$1,$B55)</f>
        <v>1.7823</v>
      </c>
      <c r="AE55" s="7">
        <f ca="1">[1]!b_calc_curve_chinabond("1102",AE$1,$B55)</f>
        <v>1.7698</v>
      </c>
      <c r="AF55" s="7">
        <f ca="1">[1]!b_calc_curve_chinabond("1102",AF$1,$B55)</f>
        <v>0</v>
      </c>
      <c r="AG55" s="7">
        <f ca="1">[1]!b_calc_curve_chinabond("1102",AG$1,$B55)</f>
        <v>0</v>
      </c>
      <c r="AH55" s="7">
        <f ca="1">[1]!b_calc_curve_chinabond("1102",AH$1,$B55)</f>
        <v>0</v>
      </c>
      <c r="AI55" s="7">
        <f ca="1">[1]!b_calc_curve_chinabond("1102",AI$1,$B55)</f>
        <v>0</v>
      </c>
    </row>
    <row r="56" spans="1:35" ht="19.5" customHeight="1">
      <c r="A56" s="1" t="s">
        <v>56</v>
      </c>
      <c r="B56" s="2">
        <v>4.8</v>
      </c>
      <c r="C56" s="7">
        <f ca="1">[1]!b_calc_curve_chinabond("1102",C$1,$B56)</f>
        <v>1.8090999999999999</v>
      </c>
      <c r="D56" s="7">
        <f ca="1">[1]!b_calc_curve_chinabond("1102",D$1,$B56)</f>
        <v>1.8066</v>
      </c>
      <c r="E56" s="7">
        <f ca="1">[1]!b_calc_curve_chinabond("1102",E$1,$B56)</f>
        <v>0</v>
      </c>
      <c r="F56" s="7">
        <f ca="1">[1]!b_calc_curve_chinabond("1102",F$1,$B56)</f>
        <v>0</v>
      </c>
      <c r="G56" s="7">
        <f ca="1">[1]!b_calc_curve_chinabond("1102",G$1,$B56)</f>
        <v>1.8030999999999999</v>
      </c>
      <c r="H56" s="7">
        <f ca="1">[1]!b_calc_curve_chinabond("1102",H$1,$B56)</f>
        <v>1.7905</v>
      </c>
      <c r="I56" s="7">
        <f ca="1">[1]!b_calc_curve_chinabond("1102",I$1,$B56)</f>
        <v>1.7836000000000001</v>
      </c>
      <c r="J56" s="7">
        <f ca="1">[1]!b_calc_curve_chinabond("1102",J$1,$B56)</f>
        <v>1.7730999999999999</v>
      </c>
      <c r="K56" s="7">
        <f ca="1">[1]!b_calc_curve_chinabond("1102",K$1,$B56)</f>
        <v>1.7630999999999999</v>
      </c>
      <c r="L56" s="7">
        <f ca="1">[1]!b_calc_curve_chinabond("1102",L$1,$B56)</f>
        <v>0</v>
      </c>
      <c r="M56" s="7">
        <f ca="1">[1]!b_calc_curve_chinabond("1102",M$1,$B56)</f>
        <v>0</v>
      </c>
      <c r="N56" s="7">
        <f ca="1">[1]!b_calc_curve_chinabond("1102",N$1,$B56)</f>
        <v>1.7538</v>
      </c>
      <c r="O56" s="7">
        <f ca="1">[1]!b_calc_curve_chinabond("1102",O$1,$B56)</f>
        <v>1.7465999999999999</v>
      </c>
      <c r="P56" s="7">
        <f ca="1">[1]!b_calc_curve_chinabond("1102",P$1,$B56)</f>
        <v>1.74</v>
      </c>
      <c r="Q56" s="7">
        <f ca="1">[1]!b_calc_curve_chinabond("1102",Q$1,$B56)</f>
        <v>1.7301</v>
      </c>
      <c r="R56" s="7">
        <f ca="1">[1]!b_calc_curve_chinabond("1102",R$1,$B56)</f>
        <v>1.724</v>
      </c>
      <c r="S56" s="7">
        <f ca="1">[1]!b_calc_curve_chinabond("1102",S$1,$B56)</f>
        <v>0</v>
      </c>
      <c r="T56" s="7">
        <f ca="1">[1]!b_calc_curve_chinabond("1102",T$1,$B56)</f>
        <v>0</v>
      </c>
      <c r="U56" s="7">
        <f ca="1">[1]!b_calc_curve_chinabond("1102",U$1,$B56)</f>
        <v>1.744</v>
      </c>
      <c r="V56" s="7">
        <f ca="1">[1]!b_calc_curve_chinabond("1102",V$1,$B56)</f>
        <v>1.7708999999999999</v>
      </c>
      <c r="W56" s="7">
        <f ca="1">[1]!b_calc_curve_chinabond("1102",W$1,$B56)</f>
        <v>1.7834000000000001</v>
      </c>
      <c r="X56" s="7">
        <f ca="1">[1]!b_calc_curve_chinabond("1102",X$1,$B56)</f>
        <v>1.81</v>
      </c>
      <c r="Y56" s="7">
        <f ca="1">[1]!b_calc_curve_chinabond("1102",Y$1,$B56)</f>
        <v>1.8181</v>
      </c>
      <c r="Z56" s="7">
        <f ca="1">[1]!b_calc_curve_chinabond("1102",Z$1,$B56)</f>
        <v>0</v>
      </c>
      <c r="AA56" s="7">
        <f ca="1">[1]!b_calc_curve_chinabond("1102",AA$1,$B56)</f>
        <v>0</v>
      </c>
      <c r="AB56" s="7">
        <f ca="1">[1]!b_calc_curve_chinabond("1102",AB$1,$B56)</f>
        <v>1.8186</v>
      </c>
      <c r="AC56" s="7">
        <f ca="1">[1]!b_calc_curve_chinabond("1102",AC$1,$B56)</f>
        <v>1.8061</v>
      </c>
      <c r="AD56" s="7">
        <f ca="1">[1]!b_calc_curve_chinabond("1102",AD$1,$B56)</f>
        <v>1.7918000000000001</v>
      </c>
      <c r="AE56" s="7">
        <f ca="1">[1]!b_calc_curve_chinabond("1102",AE$1,$B56)</f>
        <v>1.7782</v>
      </c>
      <c r="AF56" s="7">
        <f ca="1">[1]!b_calc_curve_chinabond("1102",AF$1,$B56)</f>
        <v>0</v>
      </c>
      <c r="AG56" s="7">
        <f ca="1">[1]!b_calc_curve_chinabond("1102",AG$1,$B56)</f>
        <v>0</v>
      </c>
      <c r="AH56" s="7">
        <f ca="1">[1]!b_calc_curve_chinabond("1102",AH$1,$B56)</f>
        <v>0</v>
      </c>
      <c r="AI56" s="7">
        <f ca="1">[1]!b_calc_curve_chinabond("1102",AI$1,$B56)</f>
        <v>0</v>
      </c>
    </row>
    <row r="57" spans="1:35" ht="19.5" customHeight="1">
      <c r="A57" s="3" t="s">
        <v>57</v>
      </c>
      <c r="B57" s="4">
        <v>4.9000000000000004</v>
      </c>
      <c r="C57" s="7">
        <f ca="1">[1]!b_calc_curve_chinabond("1102",C$1,$B57)</f>
        <v>1.8167</v>
      </c>
      <c r="D57" s="7">
        <f ca="1">[1]!b_calc_curve_chinabond("1102",D$1,$B57)</f>
        <v>1.8141</v>
      </c>
      <c r="E57" s="7">
        <f ca="1">[1]!b_calc_curve_chinabond("1102",E$1,$B57)</f>
        <v>0</v>
      </c>
      <c r="F57" s="7">
        <f ca="1">[1]!b_calc_curve_chinabond("1102",F$1,$B57)</f>
        <v>0</v>
      </c>
      <c r="G57" s="7">
        <f ca="1">[1]!b_calc_curve_chinabond("1102",G$1,$B57)</f>
        <v>1.8106</v>
      </c>
      <c r="H57" s="7">
        <f ca="1">[1]!b_calc_curve_chinabond("1102",H$1,$B57)</f>
        <v>1.7971999999999999</v>
      </c>
      <c r="I57" s="7">
        <f ca="1">[1]!b_calc_curve_chinabond("1102",I$1,$B57)</f>
        <v>1.7910999999999999</v>
      </c>
      <c r="J57" s="7">
        <f ca="1">[1]!b_calc_curve_chinabond("1102",J$1,$B57)</f>
        <v>1.7813000000000001</v>
      </c>
      <c r="K57" s="7">
        <f ca="1">[1]!b_calc_curve_chinabond("1102",K$1,$B57)</f>
        <v>1.7703</v>
      </c>
      <c r="L57" s="7">
        <f ca="1">[1]!b_calc_curve_chinabond("1102",L$1,$B57)</f>
        <v>0</v>
      </c>
      <c r="M57" s="7">
        <f ca="1">[1]!b_calc_curve_chinabond("1102",M$1,$B57)</f>
        <v>0</v>
      </c>
      <c r="N57" s="7">
        <f ca="1">[1]!b_calc_curve_chinabond("1102",N$1,$B57)</f>
        <v>1.7604</v>
      </c>
      <c r="O57" s="7">
        <f ca="1">[1]!b_calc_curve_chinabond("1102",O$1,$B57)</f>
        <v>1.7537</v>
      </c>
      <c r="P57" s="7">
        <f ca="1">[1]!b_calc_curve_chinabond("1102",P$1,$B57)</f>
        <v>1.7467999999999999</v>
      </c>
      <c r="Q57" s="7">
        <f ca="1">[1]!b_calc_curve_chinabond("1102",Q$1,$B57)</f>
        <v>1.7374000000000001</v>
      </c>
      <c r="R57" s="7">
        <f ca="1">[1]!b_calc_curve_chinabond("1102",R$1,$B57)</f>
        <v>1.7287999999999999</v>
      </c>
      <c r="S57" s="7">
        <f ca="1">[1]!b_calc_curve_chinabond("1102",S$1,$B57)</f>
        <v>0</v>
      </c>
      <c r="T57" s="7">
        <f ca="1">[1]!b_calc_curve_chinabond("1102",T$1,$B57)</f>
        <v>0</v>
      </c>
      <c r="U57" s="7">
        <f ca="1">[1]!b_calc_curve_chinabond("1102",U$1,$B57)</f>
        <v>1.7526999999999999</v>
      </c>
      <c r="V57" s="7">
        <f ca="1">[1]!b_calc_curve_chinabond("1102",V$1,$B57)</f>
        <v>1.7809999999999999</v>
      </c>
      <c r="W57" s="7">
        <f ca="1">[1]!b_calc_curve_chinabond("1102",W$1,$B57)</f>
        <v>1.794</v>
      </c>
      <c r="X57" s="7">
        <f ca="1">[1]!b_calc_curve_chinabond("1102",X$1,$B57)</f>
        <v>1.8194999999999999</v>
      </c>
      <c r="Y57" s="7">
        <f ca="1">[1]!b_calc_curve_chinabond("1102",Y$1,$B57)</f>
        <v>1.8288</v>
      </c>
      <c r="Z57" s="7">
        <f ca="1">[1]!b_calc_curve_chinabond("1102",Z$1,$B57)</f>
        <v>0</v>
      </c>
      <c r="AA57" s="7">
        <f ca="1">[1]!b_calc_curve_chinabond("1102",AA$1,$B57)</f>
        <v>0</v>
      </c>
      <c r="AB57" s="7">
        <f ca="1">[1]!b_calc_curve_chinabond("1102",AB$1,$B57)</f>
        <v>1.8286</v>
      </c>
      <c r="AC57" s="7">
        <f ca="1">[1]!b_calc_curve_chinabond("1102",AC$1,$B57)</f>
        <v>1.8158000000000001</v>
      </c>
      <c r="AD57" s="7">
        <f ca="1">[1]!b_calc_curve_chinabond("1102",AD$1,$B57)</f>
        <v>1.8009999999999999</v>
      </c>
      <c r="AE57" s="7">
        <f ca="1">[1]!b_calc_curve_chinabond("1102",AE$1,$B57)</f>
        <v>1.7861</v>
      </c>
      <c r="AF57" s="7">
        <f ca="1">[1]!b_calc_curve_chinabond("1102",AF$1,$B57)</f>
        <v>0</v>
      </c>
      <c r="AG57" s="7">
        <f ca="1">[1]!b_calc_curve_chinabond("1102",AG$1,$B57)</f>
        <v>0</v>
      </c>
      <c r="AH57" s="7">
        <f ca="1">[1]!b_calc_curve_chinabond("1102",AH$1,$B57)</f>
        <v>0</v>
      </c>
      <c r="AI57" s="7">
        <f ca="1">[1]!b_calc_curve_chinabond("1102",AI$1,$B57)</f>
        <v>0</v>
      </c>
    </row>
    <row r="58" spans="1:35" ht="19.5" customHeight="1">
      <c r="A58" s="1" t="s">
        <v>58</v>
      </c>
      <c r="B58" s="2">
        <v>5</v>
      </c>
      <c r="C58" s="7">
        <f ca="1">[1]!b_calc_curve_chinabond("1102",C$1,$B58)</f>
        <v>1.8243</v>
      </c>
      <c r="D58" s="7">
        <f ca="1">[1]!b_calc_curve_chinabond("1102",D$1,$B58)</f>
        <v>1.8217000000000001</v>
      </c>
      <c r="E58" s="7">
        <f ca="1">[1]!b_calc_curve_chinabond("1102",E$1,$B58)</f>
        <v>0</v>
      </c>
      <c r="F58" s="7">
        <f ca="1">[1]!b_calc_curve_chinabond("1102",F$1,$B58)</f>
        <v>0</v>
      </c>
      <c r="G58" s="7">
        <f ca="1">[1]!b_calc_curve_chinabond("1102",G$1,$B58)</f>
        <v>1.8182</v>
      </c>
      <c r="H58" s="7">
        <f ca="1">[1]!b_calc_curve_chinabond("1102",H$1,$B58)</f>
        <v>1.8041</v>
      </c>
      <c r="I58" s="7">
        <f ca="1">[1]!b_calc_curve_chinabond("1102",I$1,$B58)</f>
        <v>1.7986</v>
      </c>
      <c r="J58" s="7">
        <f ca="1">[1]!b_calc_curve_chinabond("1102",J$1,$B58)</f>
        <v>1.7894000000000001</v>
      </c>
      <c r="K58" s="7">
        <f ca="1">[1]!b_calc_curve_chinabond("1102",K$1,$B58)</f>
        <v>1.7776000000000001</v>
      </c>
      <c r="L58" s="7">
        <f ca="1">[1]!b_calc_curve_chinabond("1102",L$1,$B58)</f>
        <v>0</v>
      </c>
      <c r="M58" s="7">
        <f ca="1">[1]!b_calc_curve_chinabond("1102",M$1,$B58)</f>
        <v>0</v>
      </c>
      <c r="N58" s="7">
        <f ca="1">[1]!b_calc_curve_chinabond("1102",N$1,$B58)</f>
        <v>1.7672000000000001</v>
      </c>
      <c r="O58" s="7">
        <f ca="1">[1]!b_calc_curve_chinabond("1102",O$1,$B58)</f>
        <v>1.7606999999999999</v>
      </c>
      <c r="P58" s="7">
        <f ca="1">[1]!b_calc_curve_chinabond("1102",P$1,$B58)</f>
        <v>1.7536</v>
      </c>
      <c r="Q58" s="7">
        <f ca="1">[1]!b_calc_curve_chinabond("1102",Q$1,$B58)</f>
        <v>1.7444999999999999</v>
      </c>
      <c r="R58" s="7">
        <f ca="1">[1]!b_calc_curve_chinabond("1102",R$1,$B58)</f>
        <v>1.7337</v>
      </c>
      <c r="S58" s="7">
        <f ca="1">[1]!b_calc_curve_chinabond("1102",S$1,$B58)</f>
        <v>0</v>
      </c>
      <c r="T58" s="7">
        <f ca="1">[1]!b_calc_curve_chinabond("1102",T$1,$B58)</f>
        <v>0</v>
      </c>
      <c r="U58" s="7">
        <f ca="1">[1]!b_calc_curve_chinabond("1102",U$1,$B58)</f>
        <v>1.7609999999999999</v>
      </c>
      <c r="V58" s="7">
        <f ca="1">[1]!b_calc_curve_chinabond("1102",V$1,$B58)</f>
        <v>1.7907</v>
      </c>
      <c r="W58" s="7">
        <f ca="1">[1]!b_calc_curve_chinabond("1102",W$1,$B58)</f>
        <v>1.804</v>
      </c>
      <c r="X58" s="7">
        <f ca="1">[1]!b_calc_curve_chinabond("1102",X$1,$B58)</f>
        <v>1.8278000000000001</v>
      </c>
      <c r="Y58" s="7">
        <f ca="1">[1]!b_calc_curve_chinabond("1102",Y$1,$B58)</f>
        <v>1.8388</v>
      </c>
      <c r="Z58" s="7">
        <f ca="1">[1]!b_calc_curve_chinabond("1102",Z$1,$B58)</f>
        <v>0</v>
      </c>
      <c r="AA58" s="7">
        <f ca="1">[1]!b_calc_curve_chinabond("1102",AA$1,$B58)</f>
        <v>0</v>
      </c>
      <c r="AB58" s="7">
        <f ca="1">[1]!b_calc_curve_chinabond("1102",AB$1,$B58)</f>
        <v>1.8381000000000001</v>
      </c>
      <c r="AC58" s="7">
        <f ca="1">[1]!b_calc_curve_chinabond("1102",AC$1,$B58)</f>
        <v>1.8247</v>
      </c>
      <c r="AD58" s="7">
        <f ca="1">[1]!b_calc_curve_chinabond("1102",AD$1,$B58)</f>
        <v>1.8097000000000001</v>
      </c>
      <c r="AE58" s="7">
        <f ca="1">[1]!b_calc_curve_chinabond("1102",AE$1,$B58)</f>
        <v>1.7936000000000001</v>
      </c>
      <c r="AF58" s="7">
        <f ca="1">[1]!b_calc_curve_chinabond("1102",AF$1,$B58)</f>
        <v>0</v>
      </c>
      <c r="AG58" s="7">
        <f ca="1">[1]!b_calc_curve_chinabond("1102",AG$1,$B58)</f>
        <v>0</v>
      </c>
      <c r="AH58" s="7">
        <f ca="1">[1]!b_calc_curve_chinabond("1102",AH$1,$B58)</f>
        <v>0</v>
      </c>
      <c r="AI58" s="7">
        <f ca="1">[1]!b_calc_curve_chinabond("1102",AI$1,$B58)</f>
        <v>0</v>
      </c>
    </row>
    <row r="59" spans="1:35" ht="19.5" customHeight="1">
      <c r="A59" s="3" t="s">
        <v>59</v>
      </c>
      <c r="B59" s="4">
        <v>5.0999999999999996</v>
      </c>
      <c r="C59" s="7">
        <f ca="1">[1]!b_calc_curve_chinabond("1102",C$1,$B59)</f>
        <v>1.8322000000000001</v>
      </c>
      <c r="D59" s="7">
        <f ca="1">[1]!b_calc_curve_chinabond("1102",D$1,$B59)</f>
        <v>1.8293999999999999</v>
      </c>
      <c r="E59" s="7">
        <f ca="1">[1]!b_calc_curve_chinabond("1102",E$1,$B59)</f>
        <v>0</v>
      </c>
      <c r="F59" s="7">
        <f ca="1">[1]!b_calc_curve_chinabond("1102",F$1,$B59)</f>
        <v>0</v>
      </c>
      <c r="G59" s="7">
        <f ca="1">[1]!b_calc_curve_chinabond("1102",G$1,$B59)</f>
        <v>1.8259000000000001</v>
      </c>
      <c r="H59" s="7">
        <f ca="1">[1]!b_calc_curve_chinabond("1102",H$1,$B59)</f>
        <v>1.8113999999999999</v>
      </c>
      <c r="I59" s="7">
        <f ca="1">[1]!b_calc_curve_chinabond("1102",I$1,$B59)</f>
        <v>1.8064</v>
      </c>
      <c r="J59" s="7">
        <f ca="1">[1]!b_calc_curve_chinabond("1102",J$1,$B59)</f>
        <v>1.7978000000000001</v>
      </c>
      <c r="K59" s="7">
        <f ca="1">[1]!b_calc_curve_chinabond("1102",K$1,$B59)</f>
        <v>1.7849999999999999</v>
      </c>
      <c r="L59" s="7">
        <f ca="1">[1]!b_calc_curve_chinabond("1102",L$1,$B59)</f>
        <v>0</v>
      </c>
      <c r="M59" s="7">
        <f ca="1">[1]!b_calc_curve_chinabond("1102",M$1,$B59)</f>
        <v>0</v>
      </c>
      <c r="N59" s="7">
        <f ca="1">[1]!b_calc_curve_chinabond("1102",N$1,$B59)</f>
        <v>1.7741</v>
      </c>
      <c r="O59" s="7">
        <f ca="1">[1]!b_calc_curve_chinabond("1102",O$1,$B59)</f>
        <v>1.7676000000000001</v>
      </c>
      <c r="P59" s="7">
        <f ca="1">[1]!b_calc_curve_chinabond("1102",P$1,$B59)</f>
        <v>1.7605999999999999</v>
      </c>
      <c r="Q59" s="7">
        <f ca="1">[1]!b_calc_curve_chinabond("1102",Q$1,$B59)</f>
        <v>1.7516</v>
      </c>
      <c r="R59" s="7">
        <f ca="1">[1]!b_calc_curve_chinabond("1102",R$1,$B59)</f>
        <v>1.7387999999999999</v>
      </c>
      <c r="S59" s="7">
        <f ca="1">[1]!b_calc_curve_chinabond("1102",S$1,$B59)</f>
        <v>0</v>
      </c>
      <c r="T59" s="7">
        <f ca="1">[1]!b_calc_curve_chinabond("1102",T$1,$B59)</f>
        <v>0</v>
      </c>
      <c r="U59" s="7">
        <f ca="1">[1]!b_calc_curve_chinabond("1102",U$1,$B59)</f>
        <v>1.7686999999999999</v>
      </c>
      <c r="V59" s="7">
        <f ca="1">[1]!b_calc_curve_chinabond("1102",V$1,$B59)</f>
        <v>1.7986</v>
      </c>
      <c r="W59" s="7">
        <f ca="1">[1]!b_calc_curve_chinabond("1102",W$1,$B59)</f>
        <v>1.8126</v>
      </c>
      <c r="X59" s="7">
        <f ca="1">[1]!b_calc_curve_chinabond("1102",X$1,$B59)</f>
        <v>1.8343</v>
      </c>
      <c r="Y59" s="7">
        <f ca="1">[1]!b_calc_curve_chinabond("1102",Y$1,$B59)</f>
        <v>1.8472999999999999</v>
      </c>
      <c r="Z59" s="7">
        <f ca="1">[1]!b_calc_curve_chinabond("1102",Z$1,$B59)</f>
        <v>0</v>
      </c>
      <c r="AA59" s="7">
        <f ca="1">[1]!b_calc_curve_chinabond("1102",AA$1,$B59)</f>
        <v>0</v>
      </c>
      <c r="AB59" s="7">
        <f ca="1">[1]!b_calc_curve_chinabond("1102",AB$1,$B59)</f>
        <v>1.8463000000000001</v>
      </c>
      <c r="AC59" s="7">
        <f ca="1">[1]!b_calc_curve_chinabond("1102",AC$1,$B59)</f>
        <v>1.8324</v>
      </c>
      <c r="AD59" s="7">
        <f ca="1">[1]!b_calc_curve_chinabond("1102",AD$1,$B59)</f>
        <v>1.8174999999999999</v>
      </c>
      <c r="AE59" s="7">
        <f ca="1">[1]!b_calc_curve_chinabond("1102",AE$1,$B59)</f>
        <v>1.8006</v>
      </c>
      <c r="AF59" s="7">
        <f ca="1">[1]!b_calc_curve_chinabond("1102",AF$1,$B59)</f>
        <v>0</v>
      </c>
      <c r="AG59" s="7">
        <f ca="1">[1]!b_calc_curve_chinabond("1102",AG$1,$B59)</f>
        <v>0</v>
      </c>
      <c r="AH59" s="7">
        <f ca="1">[1]!b_calc_curve_chinabond("1102",AH$1,$B59)</f>
        <v>0</v>
      </c>
      <c r="AI59" s="7">
        <f ca="1">[1]!b_calc_curve_chinabond("1102",AI$1,$B59)</f>
        <v>0</v>
      </c>
    </row>
    <row r="60" spans="1:35" ht="19.5" customHeight="1">
      <c r="A60" s="1" t="s">
        <v>60</v>
      </c>
      <c r="B60" s="2">
        <v>5.2</v>
      </c>
      <c r="C60" s="7">
        <f ca="1">[1]!b_calc_curve_chinabond("1102",C$1,$B60)</f>
        <v>1.8403</v>
      </c>
      <c r="D60" s="7">
        <f ca="1">[1]!b_calc_curve_chinabond("1102",D$1,$B60)</f>
        <v>1.8373999999999999</v>
      </c>
      <c r="E60" s="7">
        <f ca="1">[1]!b_calc_curve_chinabond("1102",E$1,$B60)</f>
        <v>0</v>
      </c>
      <c r="F60" s="7">
        <f ca="1">[1]!b_calc_curve_chinabond("1102",F$1,$B60)</f>
        <v>0</v>
      </c>
      <c r="G60" s="7">
        <f ca="1">[1]!b_calc_curve_chinabond("1102",G$1,$B60)</f>
        <v>1.8338000000000001</v>
      </c>
      <c r="H60" s="7">
        <f ca="1">[1]!b_calc_curve_chinabond("1102",H$1,$B60)</f>
        <v>1.8196000000000001</v>
      </c>
      <c r="I60" s="7">
        <f ca="1">[1]!b_calc_curve_chinabond("1102",I$1,$B60)</f>
        <v>1.8148</v>
      </c>
      <c r="J60" s="7">
        <f ca="1">[1]!b_calc_curve_chinabond("1102",J$1,$B60)</f>
        <v>1.8066</v>
      </c>
      <c r="K60" s="7">
        <f ca="1">[1]!b_calc_curve_chinabond("1102",K$1,$B60)</f>
        <v>1.7927999999999999</v>
      </c>
      <c r="L60" s="7">
        <f ca="1">[1]!b_calc_curve_chinabond("1102",L$1,$B60)</f>
        <v>0</v>
      </c>
      <c r="M60" s="7">
        <f ca="1">[1]!b_calc_curve_chinabond("1102",M$1,$B60)</f>
        <v>0</v>
      </c>
      <c r="N60" s="7">
        <f ca="1">[1]!b_calc_curve_chinabond("1102",N$1,$B60)</f>
        <v>1.7810999999999999</v>
      </c>
      <c r="O60" s="7">
        <f ca="1">[1]!b_calc_curve_chinabond("1102",O$1,$B60)</f>
        <v>1.7745</v>
      </c>
      <c r="P60" s="7">
        <f ca="1">[1]!b_calc_curve_chinabond("1102",P$1,$B60)</f>
        <v>1.7678</v>
      </c>
      <c r="Q60" s="7">
        <f ca="1">[1]!b_calc_curve_chinabond("1102",Q$1,$B60)</f>
        <v>1.7587999999999999</v>
      </c>
      <c r="R60" s="7">
        <f ca="1">[1]!b_calc_curve_chinabond("1102",R$1,$B60)</f>
        <v>1.7444</v>
      </c>
      <c r="S60" s="7">
        <f ca="1">[1]!b_calc_curve_chinabond("1102",S$1,$B60)</f>
        <v>0</v>
      </c>
      <c r="T60" s="7">
        <f ca="1">[1]!b_calc_curve_chinabond("1102",T$1,$B60)</f>
        <v>0</v>
      </c>
      <c r="U60" s="7">
        <f ca="1">[1]!b_calc_curve_chinabond("1102",U$1,$B60)</f>
        <v>1.7761</v>
      </c>
      <c r="V60" s="7">
        <f ca="1">[1]!b_calc_curve_chinabond("1102",V$1,$B60)</f>
        <v>1.8043</v>
      </c>
      <c r="W60" s="7">
        <f ca="1">[1]!b_calc_curve_chinabond("1102",W$1,$B60)</f>
        <v>1.8194999999999999</v>
      </c>
      <c r="X60" s="7">
        <f ca="1">[1]!b_calc_curve_chinabond("1102",X$1,$B60)</f>
        <v>1.8389</v>
      </c>
      <c r="Y60" s="7">
        <f ca="1">[1]!b_calc_curve_chinabond("1102",Y$1,$B60)</f>
        <v>1.8541000000000001</v>
      </c>
      <c r="Z60" s="7">
        <f ca="1">[1]!b_calc_curve_chinabond("1102",Z$1,$B60)</f>
        <v>0</v>
      </c>
      <c r="AA60" s="7">
        <f ca="1">[1]!b_calc_curve_chinabond("1102",AA$1,$B60)</f>
        <v>0</v>
      </c>
      <c r="AB60" s="7">
        <f ca="1">[1]!b_calc_curve_chinabond("1102",AB$1,$B60)</f>
        <v>1.8529</v>
      </c>
      <c r="AC60" s="7">
        <f ca="1">[1]!b_calc_curve_chinabond("1102",AC$1,$B60)</f>
        <v>1.8391</v>
      </c>
      <c r="AD60" s="7">
        <f ca="1">[1]!b_calc_curve_chinabond("1102",AD$1,$B60)</f>
        <v>1.8244</v>
      </c>
      <c r="AE60" s="7">
        <f ca="1">[1]!b_calc_curve_chinabond("1102",AE$1,$B60)</f>
        <v>1.8073999999999999</v>
      </c>
      <c r="AF60" s="7">
        <f ca="1">[1]!b_calc_curve_chinabond("1102",AF$1,$B60)</f>
        <v>0</v>
      </c>
      <c r="AG60" s="7">
        <f ca="1">[1]!b_calc_curve_chinabond("1102",AG$1,$B60)</f>
        <v>0</v>
      </c>
      <c r="AH60" s="7">
        <f ca="1">[1]!b_calc_curve_chinabond("1102",AH$1,$B60)</f>
        <v>0</v>
      </c>
      <c r="AI60" s="7">
        <f ca="1">[1]!b_calc_curve_chinabond("1102",AI$1,$B60)</f>
        <v>0</v>
      </c>
    </row>
    <row r="61" spans="1:35" ht="19.5" customHeight="1">
      <c r="A61" s="3" t="s">
        <v>61</v>
      </c>
      <c r="B61" s="4">
        <v>5.3</v>
      </c>
      <c r="C61" s="7">
        <f ca="1">[1]!b_calc_curve_chinabond("1102",C$1,$B61)</f>
        <v>1.8488</v>
      </c>
      <c r="D61" s="7">
        <f ca="1">[1]!b_calc_curve_chinabond("1102",D$1,$B61)</f>
        <v>1.8455999999999999</v>
      </c>
      <c r="E61" s="7">
        <f ca="1">[1]!b_calc_curve_chinabond("1102",E$1,$B61)</f>
        <v>0</v>
      </c>
      <c r="F61" s="7">
        <f ca="1">[1]!b_calc_curve_chinabond("1102",F$1,$B61)</f>
        <v>0</v>
      </c>
      <c r="G61" s="7">
        <f ca="1">[1]!b_calc_curve_chinabond("1102",G$1,$B61)</f>
        <v>1.8420000000000001</v>
      </c>
      <c r="H61" s="7">
        <f ca="1">[1]!b_calc_curve_chinabond("1102",H$1,$B61)</f>
        <v>1.8285</v>
      </c>
      <c r="I61" s="7">
        <f ca="1">[1]!b_calc_curve_chinabond("1102",I$1,$B61)</f>
        <v>1.8237000000000001</v>
      </c>
      <c r="J61" s="7">
        <f ca="1">[1]!b_calc_curve_chinabond("1102",J$1,$B61)</f>
        <v>1.8160000000000001</v>
      </c>
      <c r="K61" s="7">
        <f ca="1">[1]!b_calc_curve_chinabond("1102",K$1,$B61)</f>
        <v>1.8008</v>
      </c>
      <c r="L61" s="7">
        <f ca="1">[1]!b_calc_curve_chinabond("1102",L$1,$B61)</f>
        <v>0</v>
      </c>
      <c r="M61" s="7">
        <f ca="1">[1]!b_calc_curve_chinabond("1102",M$1,$B61)</f>
        <v>0</v>
      </c>
      <c r="N61" s="7">
        <f ca="1">[1]!b_calc_curve_chinabond("1102",N$1,$B61)</f>
        <v>1.7883</v>
      </c>
      <c r="O61" s="7">
        <f ca="1">[1]!b_calc_curve_chinabond("1102",O$1,$B61)</f>
        <v>1.7813000000000001</v>
      </c>
      <c r="P61" s="7">
        <f ca="1">[1]!b_calc_curve_chinabond("1102",P$1,$B61)</f>
        <v>1.7750999999999999</v>
      </c>
      <c r="Q61" s="7">
        <f ca="1">[1]!b_calc_curve_chinabond("1102",Q$1,$B61)</f>
        <v>1.7661</v>
      </c>
      <c r="R61" s="7">
        <f ca="1">[1]!b_calc_curve_chinabond("1102",R$1,$B61)</f>
        <v>1.7512000000000001</v>
      </c>
      <c r="S61" s="7">
        <f ca="1">[1]!b_calc_curve_chinabond("1102",S$1,$B61)</f>
        <v>0</v>
      </c>
      <c r="T61" s="7">
        <f ca="1">[1]!b_calc_curve_chinabond("1102",T$1,$B61)</f>
        <v>0</v>
      </c>
      <c r="U61" s="7">
        <f ca="1">[1]!b_calc_curve_chinabond("1102",U$1,$B61)</f>
        <v>1.7833000000000001</v>
      </c>
      <c r="V61" s="7">
        <f ca="1">[1]!b_calc_curve_chinabond("1102",V$1,$B61)</f>
        <v>1.8082</v>
      </c>
      <c r="W61" s="7">
        <f ca="1">[1]!b_calc_curve_chinabond("1102",W$1,$B61)</f>
        <v>1.825</v>
      </c>
      <c r="X61" s="7">
        <f ca="1">[1]!b_calc_curve_chinabond("1102",X$1,$B61)</f>
        <v>1.8422000000000001</v>
      </c>
      <c r="Y61" s="7">
        <f ca="1">[1]!b_calc_curve_chinabond("1102",Y$1,$B61)</f>
        <v>1.8592</v>
      </c>
      <c r="Z61" s="7">
        <f ca="1">[1]!b_calc_curve_chinabond("1102",Z$1,$B61)</f>
        <v>0</v>
      </c>
      <c r="AA61" s="7">
        <f ca="1">[1]!b_calc_curve_chinabond("1102",AA$1,$B61)</f>
        <v>0</v>
      </c>
      <c r="AB61" s="7">
        <f ca="1">[1]!b_calc_curve_chinabond("1102",AB$1,$B61)</f>
        <v>1.8581000000000001</v>
      </c>
      <c r="AC61" s="7">
        <f ca="1">[1]!b_calc_curve_chinabond("1102",AC$1,$B61)</f>
        <v>1.8449</v>
      </c>
      <c r="AD61" s="7">
        <f ca="1">[1]!b_calc_curve_chinabond("1102",AD$1,$B61)</f>
        <v>1.8305</v>
      </c>
      <c r="AE61" s="7">
        <f ca="1">[1]!b_calc_curve_chinabond("1102",AE$1,$B61)</f>
        <v>1.8139000000000001</v>
      </c>
      <c r="AF61" s="7">
        <f ca="1">[1]!b_calc_curve_chinabond("1102",AF$1,$B61)</f>
        <v>0</v>
      </c>
      <c r="AG61" s="7">
        <f ca="1">[1]!b_calc_curve_chinabond("1102",AG$1,$B61)</f>
        <v>0</v>
      </c>
      <c r="AH61" s="7">
        <f ca="1">[1]!b_calc_curve_chinabond("1102",AH$1,$B61)</f>
        <v>0</v>
      </c>
      <c r="AI61" s="7">
        <f ca="1">[1]!b_calc_curve_chinabond("1102",AI$1,$B61)</f>
        <v>0</v>
      </c>
    </row>
    <row r="62" spans="1:35" ht="19.5" customHeight="1">
      <c r="A62" s="1" t="s">
        <v>62</v>
      </c>
      <c r="B62" s="2">
        <v>5.4</v>
      </c>
      <c r="C62" s="7">
        <f ca="1">[1]!b_calc_curve_chinabond("1102",C$1,$B62)</f>
        <v>1.8574999999999999</v>
      </c>
      <c r="D62" s="7">
        <f ca="1">[1]!b_calc_curve_chinabond("1102",D$1,$B62)</f>
        <v>1.8539000000000001</v>
      </c>
      <c r="E62" s="7">
        <f ca="1">[1]!b_calc_curve_chinabond("1102",E$1,$B62)</f>
        <v>0</v>
      </c>
      <c r="F62" s="7">
        <f ca="1">[1]!b_calc_curve_chinabond("1102",F$1,$B62)</f>
        <v>0</v>
      </c>
      <c r="G62" s="7">
        <f ca="1">[1]!b_calc_curve_chinabond("1102",G$1,$B62)</f>
        <v>1.8503000000000001</v>
      </c>
      <c r="H62" s="7">
        <f ca="1">[1]!b_calc_curve_chinabond("1102",H$1,$B62)</f>
        <v>1.8378000000000001</v>
      </c>
      <c r="I62" s="7">
        <f ca="1">[1]!b_calc_curve_chinabond("1102",I$1,$B62)</f>
        <v>1.833</v>
      </c>
      <c r="J62" s="7">
        <f ca="1">[1]!b_calc_curve_chinabond("1102",J$1,$B62)</f>
        <v>1.8255999999999999</v>
      </c>
      <c r="K62" s="7">
        <f ca="1">[1]!b_calc_curve_chinabond("1102",K$1,$B62)</f>
        <v>1.8089</v>
      </c>
      <c r="L62" s="7">
        <f ca="1">[1]!b_calc_curve_chinabond("1102",L$1,$B62)</f>
        <v>0</v>
      </c>
      <c r="M62" s="7">
        <f ca="1">[1]!b_calc_curve_chinabond("1102",M$1,$B62)</f>
        <v>0</v>
      </c>
      <c r="N62" s="7">
        <f ca="1">[1]!b_calc_curve_chinabond("1102",N$1,$B62)</f>
        <v>1.7955000000000001</v>
      </c>
      <c r="O62" s="7">
        <f ca="1">[1]!b_calc_curve_chinabond("1102",O$1,$B62)</f>
        <v>1.7881</v>
      </c>
      <c r="P62" s="7">
        <f ca="1">[1]!b_calc_curve_chinabond("1102",P$1,$B62)</f>
        <v>1.7826</v>
      </c>
      <c r="Q62" s="7">
        <f ca="1">[1]!b_calc_curve_chinabond("1102",Q$1,$B62)</f>
        <v>1.7735000000000001</v>
      </c>
      <c r="R62" s="7">
        <f ca="1">[1]!b_calc_curve_chinabond("1102",R$1,$B62)</f>
        <v>1.7588999999999999</v>
      </c>
      <c r="S62" s="7">
        <f ca="1">[1]!b_calc_curve_chinabond("1102",S$1,$B62)</f>
        <v>0</v>
      </c>
      <c r="T62" s="7">
        <f ca="1">[1]!b_calc_curve_chinabond("1102",T$1,$B62)</f>
        <v>0</v>
      </c>
      <c r="U62" s="7">
        <f ca="1">[1]!b_calc_curve_chinabond("1102",U$1,$B62)</f>
        <v>1.7902</v>
      </c>
      <c r="V62" s="7">
        <f ca="1">[1]!b_calc_curve_chinabond("1102",V$1,$B62)</f>
        <v>1.8109</v>
      </c>
      <c r="W62" s="7">
        <f ca="1">[1]!b_calc_curve_chinabond("1102",W$1,$B62)</f>
        <v>1.8293999999999999</v>
      </c>
      <c r="X62" s="7">
        <f ca="1">[1]!b_calc_curve_chinabond("1102",X$1,$B62)</f>
        <v>1.8443000000000001</v>
      </c>
      <c r="Y62" s="7">
        <f ca="1">[1]!b_calc_curve_chinabond("1102",Y$1,$B62)</f>
        <v>1.8633</v>
      </c>
      <c r="Z62" s="7">
        <f ca="1">[1]!b_calc_curve_chinabond("1102",Z$1,$B62)</f>
        <v>0</v>
      </c>
      <c r="AA62" s="7">
        <f ca="1">[1]!b_calc_curve_chinabond("1102",AA$1,$B62)</f>
        <v>0</v>
      </c>
      <c r="AB62" s="7">
        <f ca="1">[1]!b_calc_curve_chinabond("1102",AB$1,$B62)</f>
        <v>1.8623000000000001</v>
      </c>
      <c r="AC62" s="7">
        <f ca="1">[1]!b_calc_curve_chinabond("1102",AC$1,$B62)</f>
        <v>1.85</v>
      </c>
      <c r="AD62" s="7">
        <f ca="1">[1]!b_calc_curve_chinabond("1102",AD$1,$B62)</f>
        <v>1.8359000000000001</v>
      </c>
      <c r="AE62" s="7">
        <f ca="1">[1]!b_calc_curve_chinabond("1102",AE$1,$B62)</f>
        <v>1.8202</v>
      </c>
      <c r="AF62" s="7">
        <f ca="1">[1]!b_calc_curve_chinabond("1102",AF$1,$B62)</f>
        <v>0</v>
      </c>
      <c r="AG62" s="7">
        <f ca="1">[1]!b_calc_curve_chinabond("1102",AG$1,$B62)</f>
        <v>0</v>
      </c>
      <c r="AH62" s="7">
        <f ca="1">[1]!b_calc_curve_chinabond("1102",AH$1,$B62)</f>
        <v>0</v>
      </c>
      <c r="AI62" s="7">
        <f ca="1">[1]!b_calc_curve_chinabond("1102",AI$1,$B62)</f>
        <v>0</v>
      </c>
    </row>
    <row r="63" spans="1:35" ht="19.5" customHeight="1">
      <c r="A63" s="3" t="s">
        <v>63</v>
      </c>
      <c r="B63" s="4">
        <v>5.5</v>
      </c>
      <c r="C63" s="7">
        <f ca="1">[1]!b_calc_curve_chinabond("1102",C$1,$B63)</f>
        <v>1.8663000000000001</v>
      </c>
      <c r="D63" s="7">
        <f ca="1">[1]!b_calc_curve_chinabond("1102",D$1,$B63)</f>
        <v>1.8624000000000001</v>
      </c>
      <c r="E63" s="7">
        <f ca="1">[1]!b_calc_curve_chinabond("1102",E$1,$B63)</f>
        <v>0</v>
      </c>
      <c r="F63" s="7">
        <f ca="1">[1]!b_calc_curve_chinabond("1102",F$1,$B63)</f>
        <v>0</v>
      </c>
      <c r="G63" s="7">
        <f ca="1">[1]!b_calc_curve_chinabond("1102",G$1,$B63)</f>
        <v>1.8587</v>
      </c>
      <c r="H63" s="7">
        <f ca="1">[1]!b_calc_curve_chinabond("1102",H$1,$B63)</f>
        <v>1.8475999999999999</v>
      </c>
      <c r="I63" s="7">
        <f ca="1">[1]!b_calc_curve_chinabond("1102",I$1,$B63)</f>
        <v>1.8426</v>
      </c>
      <c r="J63" s="7">
        <f ca="1">[1]!b_calc_curve_chinabond("1102",J$1,$B63)</f>
        <v>1.8355999999999999</v>
      </c>
      <c r="K63" s="7">
        <f ca="1">[1]!b_calc_curve_chinabond("1102",K$1,$B63)</f>
        <v>1.8171999999999999</v>
      </c>
      <c r="L63" s="7">
        <f ca="1">[1]!b_calc_curve_chinabond("1102",L$1,$B63)</f>
        <v>0</v>
      </c>
      <c r="M63" s="7">
        <f ca="1">[1]!b_calc_curve_chinabond("1102",M$1,$B63)</f>
        <v>0</v>
      </c>
      <c r="N63" s="7">
        <f ca="1">[1]!b_calc_curve_chinabond("1102",N$1,$B63)</f>
        <v>1.8028</v>
      </c>
      <c r="O63" s="7">
        <f ca="1">[1]!b_calc_curve_chinabond("1102",O$1,$B63)</f>
        <v>1.7948</v>
      </c>
      <c r="P63" s="7">
        <f ca="1">[1]!b_calc_curve_chinabond("1102",P$1,$B63)</f>
        <v>1.7902</v>
      </c>
      <c r="Q63" s="7">
        <f ca="1">[1]!b_calc_curve_chinabond("1102",Q$1,$B63)</f>
        <v>1.7809999999999999</v>
      </c>
      <c r="R63" s="7">
        <f ca="1">[1]!b_calc_curve_chinabond("1102",R$1,$B63)</f>
        <v>1.7673000000000001</v>
      </c>
      <c r="S63" s="7">
        <f ca="1">[1]!b_calc_curve_chinabond("1102",S$1,$B63)</f>
        <v>0</v>
      </c>
      <c r="T63" s="7">
        <f ca="1">[1]!b_calc_curve_chinabond("1102",T$1,$B63)</f>
        <v>0</v>
      </c>
      <c r="U63" s="7">
        <f ca="1">[1]!b_calc_curve_chinabond("1102",U$1,$B63)</f>
        <v>1.7968999999999999</v>
      </c>
      <c r="V63" s="7">
        <f ca="1">[1]!b_calc_curve_chinabond("1102",V$1,$B63)</f>
        <v>1.8129999999999999</v>
      </c>
      <c r="W63" s="7">
        <f ca="1">[1]!b_calc_curve_chinabond("1102",W$1,$B63)</f>
        <v>1.833</v>
      </c>
      <c r="X63" s="7">
        <f ca="1">[1]!b_calc_curve_chinabond("1102",X$1,$B63)</f>
        <v>1.8456999999999999</v>
      </c>
      <c r="Y63" s="7">
        <f ca="1">[1]!b_calc_curve_chinabond("1102",Y$1,$B63)</f>
        <v>1.8664000000000001</v>
      </c>
      <c r="Z63" s="7">
        <f ca="1">[1]!b_calc_curve_chinabond("1102",Z$1,$B63)</f>
        <v>0</v>
      </c>
      <c r="AA63" s="7">
        <f ca="1">[1]!b_calc_curve_chinabond("1102",AA$1,$B63)</f>
        <v>0</v>
      </c>
      <c r="AB63" s="7">
        <f ca="1">[1]!b_calc_curve_chinabond("1102",AB$1,$B63)</f>
        <v>1.8657999999999999</v>
      </c>
      <c r="AC63" s="7">
        <f ca="1">[1]!b_calc_curve_chinabond("1102",AC$1,$B63)</f>
        <v>1.8547</v>
      </c>
      <c r="AD63" s="7">
        <f ca="1">[1]!b_calc_curve_chinabond("1102",AD$1,$B63)</f>
        <v>1.8409</v>
      </c>
      <c r="AE63" s="7">
        <f ca="1">[1]!b_calc_curve_chinabond("1102",AE$1,$B63)</f>
        <v>1.8264</v>
      </c>
      <c r="AF63" s="7">
        <f ca="1">[1]!b_calc_curve_chinabond("1102",AF$1,$B63)</f>
        <v>0</v>
      </c>
      <c r="AG63" s="7">
        <f ca="1">[1]!b_calc_curve_chinabond("1102",AG$1,$B63)</f>
        <v>0</v>
      </c>
      <c r="AH63" s="7">
        <f ca="1">[1]!b_calc_curve_chinabond("1102",AH$1,$B63)</f>
        <v>0</v>
      </c>
      <c r="AI63" s="7">
        <f ca="1">[1]!b_calc_curve_chinabond("1102",AI$1,$B63)</f>
        <v>0</v>
      </c>
    </row>
    <row r="64" spans="1:35" ht="19.5" customHeight="1">
      <c r="A64" s="1" t="s">
        <v>64</v>
      </c>
      <c r="B64" s="2">
        <v>5.6</v>
      </c>
      <c r="C64" s="7">
        <f ca="1">[1]!b_calc_curve_chinabond("1102",C$1,$B64)</f>
        <v>1.8753</v>
      </c>
      <c r="D64" s="7">
        <f ca="1">[1]!b_calc_curve_chinabond("1102",D$1,$B64)</f>
        <v>1.871</v>
      </c>
      <c r="E64" s="7">
        <f ca="1">[1]!b_calc_curve_chinabond("1102",E$1,$B64)</f>
        <v>0</v>
      </c>
      <c r="F64" s="7">
        <f ca="1">[1]!b_calc_curve_chinabond("1102",F$1,$B64)</f>
        <v>0</v>
      </c>
      <c r="G64" s="7">
        <f ca="1">[1]!b_calc_curve_chinabond("1102",G$1,$B64)</f>
        <v>1.8672</v>
      </c>
      <c r="H64" s="7">
        <f ca="1">[1]!b_calc_curve_chinabond("1102",H$1,$B64)</f>
        <v>1.8574999999999999</v>
      </c>
      <c r="I64" s="7">
        <f ca="1">[1]!b_calc_curve_chinabond("1102",I$1,$B64)</f>
        <v>1.8523000000000001</v>
      </c>
      <c r="J64" s="7">
        <f ca="1">[1]!b_calc_curve_chinabond("1102",J$1,$B64)</f>
        <v>1.8456999999999999</v>
      </c>
      <c r="K64" s="7">
        <f ca="1">[1]!b_calc_curve_chinabond("1102",K$1,$B64)</f>
        <v>1.8255999999999999</v>
      </c>
      <c r="L64" s="7">
        <f ca="1">[1]!b_calc_curve_chinabond("1102",L$1,$B64)</f>
        <v>0</v>
      </c>
      <c r="M64" s="7">
        <f ca="1">[1]!b_calc_curve_chinabond("1102",M$1,$B64)</f>
        <v>0</v>
      </c>
      <c r="N64" s="7">
        <f ca="1">[1]!b_calc_curve_chinabond("1102",N$1,$B64)</f>
        <v>1.8102</v>
      </c>
      <c r="O64" s="7">
        <f ca="1">[1]!b_calc_curve_chinabond("1102",O$1,$B64)</f>
        <v>1.8015000000000001</v>
      </c>
      <c r="P64" s="7">
        <f ca="1">[1]!b_calc_curve_chinabond("1102",P$1,$B64)</f>
        <v>1.7978000000000001</v>
      </c>
      <c r="Q64" s="7">
        <f ca="1">[1]!b_calc_curve_chinabond("1102",Q$1,$B64)</f>
        <v>1.7885</v>
      </c>
      <c r="R64" s="7">
        <f ca="1">[1]!b_calc_curve_chinabond("1102",R$1,$B64)</f>
        <v>1.7762</v>
      </c>
      <c r="S64" s="7">
        <f ca="1">[1]!b_calc_curve_chinabond("1102",S$1,$B64)</f>
        <v>0</v>
      </c>
      <c r="T64" s="7">
        <f ca="1">[1]!b_calc_curve_chinabond("1102",T$1,$B64)</f>
        <v>0</v>
      </c>
      <c r="U64" s="7">
        <f ca="1">[1]!b_calc_curve_chinabond("1102",U$1,$B64)</f>
        <v>1.8035000000000001</v>
      </c>
      <c r="V64" s="7">
        <f ca="1">[1]!b_calc_curve_chinabond("1102",V$1,$B64)</f>
        <v>1.8149</v>
      </c>
      <c r="W64" s="7">
        <f ca="1">[1]!b_calc_curve_chinabond("1102",W$1,$B64)</f>
        <v>1.8361000000000001</v>
      </c>
      <c r="X64" s="7">
        <f ca="1">[1]!b_calc_curve_chinabond("1102",X$1,$B64)</f>
        <v>1.8467</v>
      </c>
      <c r="Y64" s="7">
        <f ca="1">[1]!b_calc_curve_chinabond("1102",Y$1,$B64)</f>
        <v>1.869</v>
      </c>
      <c r="Z64" s="7">
        <f ca="1">[1]!b_calc_curve_chinabond("1102",Z$1,$B64)</f>
        <v>0</v>
      </c>
      <c r="AA64" s="7">
        <f ca="1">[1]!b_calc_curve_chinabond("1102",AA$1,$B64)</f>
        <v>0</v>
      </c>
      <c r="AB64" s="7">
        <f ca="1">[1]!b_calc_curve_chinabond("1102",AB$1,$B64)</f>
        <v>1.8687</v>
      </c>
      <c r="AC64" s="7">
        <f ca="1">[1]!b_calc_curve_chinabond("1102",AC$1,$B64)</f>
        <v>1.8591</v>
      </c>
      <c r="AD64" s="7">
        <f ca="1">[1]!b_calc_curve_chinabond("1102",AD$1,$B64)</f>
        <v>1.8455999999999999</v>
      </c>
      <c r="AE64" s="7">
        <f ca="1">[1]!b_calc_curve_chinabond("1102",AE$1,$B64)</f>
        <v>1.8325</v>
      </c>
      <c r="AF64" s="7">
        <f ca="1">[1]!b_calc_curve_chinabond("1102",AF$1,$B64)</f>
        <v>0</v>
      </c>
      <c r="AG64" s="7">
        <f ca="1">[1]!b_calc_curve_chinabond("1102",AG$1,$B64)</f>
        <v>0</v>
      </c>
      <c r="AH64" s="7">
        <f ca="1">[1]!b_calc_curve_chinabond("1102",AH$1,$B64)</f>
        <v>0</v>
      </c>
      <c r="AI64" s="7">
        <f ca="1">[1]!b_calc_curve_chinabond("1102",AI$1,$B64)</f>
        <v>0</v>
      </c>
    </row>
    <row r="65" spans="1:35" ht="19.5" customHeight="1">
      <c r="A65" s="3" t="s">
        <v>65</v>
      </c>
      <c r="B65" s="4">
        <v>5.7</v>
      </c>
      <c r="C65" s="7">
        <f ca="1">[1]!b_calc_curve_chinabond("1102",C$1,$B65)</f>
        <v>1.8842000000000001</v>
      </c>
      <c r="D65" s="7">
        <f ca="1">[1]!b_calc_curve_chinabond("1102",D$1,$B65)</f>
        <v>1.8795999999999999</v>
      </c>
      <c r="E65" s="7">
        <f ca="1">[1]!b_calc_curve_chinabond("1102",E$1,$B65)</f>
        <v>0</v>
      </c>
      <c r="F65" s="7">
        <f ca="1">[1]!b_calc_curve_chinabond("1102",F$1,$B65)</f>
        <v>0</v>
      </c>
      <c r="G65" s="7">
        <f ca="1">[1]!b_calc_curve_chinabond("1102",G$1,$B65)</f>
        <v>1.8756999999999999</v>
      </c>
      <c r="H65" s="7">
        <f ca="1">[1]!b_calc_curve_chinabond("1102",H$1,$B65)</f>
        <v>1.8675999999999999</v>
      </c>
      <c r="I65" s="7">
        <f ca="1">[1]!b_calc_curve_chinabond("1102",I$1,$B65)</f>
        <v>1.8621000000000001</v>
      </c>
      <c r="J65" s="7">
        <f ca="1">[1]!b_calc_curve_chinabond("1102",J$1,$B65)</f>
        <v>1.8557999999999999</v>
      </c>
      <c r="K65" s="7">
        <f ca="1">[1]!b_calc_curve_chinabond("1102",K$1,$B65)</f>
        <v>1.8340000000000001</v>
      </c>
      <c r="L65" s="7">
        <f ca="1">[1]!b_calc_curve_chinabond("1102",L$1,$B65)</f>
        <v>0</v>
      </c>
      <c r="M65" s="7">
        <f ca="1">[1]!b_calc_curve_chinabond("1102",M$1,$B65)</f>
        <v>0</v>
      </c>
      <c r="N65" s="7">
        <f ca="1">[1]!b_calc_curve_chinabond("1102",N$1,$B65)</f>
        <v>1.8174999999999999</v>
      </c>
      <c r="O65" s="7">
        <f ca="1">[1]!b_calc_curve_chinabond("1102",O$1,$B65)</f>
        <v>1.8083</v>
      </c>
      <c r="P65" s="7">
        <f ca="1">[1]!b_calc_curve_chinabond("1102",P$1,$B65)</f>
        <v>1.8055000000000001</v>
      </c>
      <c r="Q65" s="7">
        <f ca="1">[1]!b_calc_curve_chinabond("1102",Q$1,$B65)</f>
        <v>1.796</v>
      </c>
      <c r="R65" s="7">
        <f ca="1">[1]!b_calc_curve_chinabond("1102",R$1,$B65)</f>
        <v>1.7853000000000001</v>
      </c>
      <c r="S65" s="7">
        <f ca="1">[1]!b_calc_curve_chinabond("1102",S$1,$B65)</f>
        <v>0</v>
      </c>
      <c r="T65" s="7">
        <f ca="1">[1]!b_calc_curve_chinabond("1102",T$1,$B65)</f>
        <v>0</v>
      </c>
      <c r="U65" s="7">
        <f ca="1">[1]!b_calc_curve_chinabond("1102",U$1,$B65)</f>
        <v>1.81</v>
      </c>
      <c r="V65" s="7">
        <f ca="1">[1]!b_calc_curve_chinabond("1102",V$1,$B65)</f>
        <v>1.8171999999999999</v>
      </c>
      <c r="W65" s="7">
        <f ca="1">[1]!b_calc_curve_chinabond("1102",W$1,$B65)</f>
        <v>1.839</v>
      </c>
      <c r="X65" s="7">
        <f ca="1">[1]!b_calc_curve_chinabond("1102",X$1,$B65)</f>
        <v>1.8476999999999999</v>
      </c>
      <c r="Y65" s="7">
        <f ca="1">[1]!b_calc_curve_chinabond("1102",Y$1,$B65)</f>
        <v>1.8714</v>
      </c>
      <c r="Z65" s="7">
        <f ca="1">[1]!b_calc_curve_chinabond("1102",Z$1,$B65)</f>
        <v>0</v>
      </c>
      <c r="AA65" s="7">
        <f ca="1">[1]!b_calc_curve_chinabond("1102",AA$1,$B65)</f>
        <v>0</v>
      </c>
      <c r="AB65" s="7">
        <f ca="1">[1]!b_calc_curve_chinabond("1102",AB$1,$B65)</f>
        <v>1.8714999999999999</v>
      </c>
      <c r="AC65" s="7">
        <f ca="1">[1]!b_calc_curve_chinabond("1102",AC$1,$B65)</f>
        <v>1.8633999999999999</v>
      </c>
      <c r="AD65" s="7">
        <f ca="1">[1]!b_calc_curve_chinabond("1102",AD$1,$B65)</f>
        <v>1.8502000000000001</v>
      </c>
      <c r="AE65" s="7">
        <f ca="1">[1]!b_calc_curve_chinabond("1102",AE$1,$B65)</f>
        <v>1.8386</v>
      </c>
      <c r="AF65" s="7">
        <f ca="1">[1]!b_calc_curve_chinabond("1102",AF$1,$B65)</f>
        <v>0</v>
      </c>
      <c r="AG65" s="7">
        <f ca="1">[1]!b_calc_curve_chinabond("1102",AG$1,$B65)</f>
        <v>0</v>
      </c>
      <c r="AH65" s="7">
        <f ca="1">[1]!b_calc_curve_chinabond("1102",AH$1,$B65)</f>
        <v>0</v>
      </c>
      <c r="AI65" s="7">
        <f ca="1">[1]!b_calc_curve_chinabond("1102",AI$1,$B65)</f>
        <v>0</v>
      </c>
    </row>
    <row r="66" spans="1:35" ht="19.5" customHeight="1">
      <c r="A66" s="1" t="s">
        <v>66</v>
      </c>
      <c r="B66" s="2">
        <v>5.8</v>
      </c>
      <c r="C66" s="7">
        <f ca="1">[1]!b_calc_curve_chinabond("1102",C$1,$B66)</f>
        <v>1.8932</v>
      </c>
      <c r="D66" s="7">
        <f ca="1">[1]!b_calc_curve_chinabond("1102",D$1,$B66)</f>
        <v>1.8880999999999999</v>
      </c>
      <c r="E66" s="7">
        <f ca="1">[1]!b_calc_curve_chinabond("1102",E$1,$B66)</f>
        <v>0</v>
      </c>
      <c r="F66" s="7">
        <f ca="1">[1]!b_calc_curve_chinabond("1102",F$1,$B66)</f>
        <v>0</v>
      </c>
      <c r="G66" s="7">
        <f ca="1">[1]!b_calc_curve_chinabond("1102",G$1,$B66)</f>
        <v>1.8842000000000001</v>
      </c>
      <c r="H66" s="7">
        <f ca="1">[1]!b_calc_curve_chinabond("1102",H$1,$B66)</f>
        <v>1.8775999999999999</v>
      </c>
      <c r="I66" s="7">
        <f ca="1">[1]!b_calc_curve_chinabond("1102",I$1,$B66)</f>
        <v>1.8718999999999999</v>
      </c>
      <c r="J66" s="7">
        <f ca="1">[1]!b_calc_curve_chinabond("1102",J$1,$B66)</f>
        <v>1.8658999999999999</v>
      </c>
      <c r="K66" s="7">
        <f ca="1">[1]!b_calc_curve_chinabond("1102",K$1,$B66)</f>
        <v>1.8423</v>
      </c>
      <c r="L66" s="7">
        <f ca="1">[1]!b_calc_curve_chinabond("1102",L$1,$B66)</f>
        <v>0</v>
      </c>
      <c r="M66" s="7">
        <f ca="1">[1]!b_calc_curve_chinabond("1102",M$1,$B66)</f>
        <v>0</v>
      </c>
      <c r="N66" s="7">
        <f ca="1">[1]!b_calc_curve_chinabond("1102",N$1,$B66)</f>
        <v>1.8249</v>
      </c>
      <c r="O66" s="7">
        <f ca="1">[1]!b_calc_curve_chinabond("1102",O$1,$B66)</f>
        <v>1.8149999999999999</v>
      </c>
      <c r="P66" s="7">
        <f ca="1">[1]!b_calc_curve_chinabond("1102",P$1,$B66)</f>
        <v>1.8130999999999999</v>
      </c>
      <c r="Q66" s="7">
        <f ca="1">[1]!b_calc_curve_chinabond("1102",Q$1,$B66)</f>
        <v>1.8033999999999999</v>
      </c>
      <c r="R66" s="7">
        <f ca="1">[1]!b_calc_curve_chinabond("1102",R$1,$B66)</f>
        <v>1.7945</v>
      </c>
      <c r="S66" s="7">
        <f ca="1">[1]!b_calc_curve_chinabond("1102",S$1,$B66)</f>
        <v>0</v>
      </c>
      <c r="T66" s="7">
        <f ca="1">[1]!b_calc_curve_chinabond("1102",T$1,$B66)</f>
        <v>0</v>
      </c>
      <c r="U66" s="7">
        <f ca="1">[1]!b_calc_curve_chinabond("1102",U$1,$B66)</f>
        <v>1.8166</v>
      </c>
      <c r="V66" s="7">
        <f ca="1">[1]!b_calc_curve_chinabond("1102",V$1,$B66)</f>
        <v>1.8205</v>
      </c>
      <c r="W66" s="7">
        <f ca="1">[1]!b_calc_curve_chinabond("1102",W$1,$B66)</f>
        <v>1.8420000000000001</v>
      </c>
      <c r="X66" s="7">
        <f ca="1">[1]!b_calc_curve_chinabond("1102",X$1,$B66)</f>
        <v>1.849</v>
      </c>
      <c r="Y66" s="7">
        <f ca="1">[1]!b_calc_curve_chinabond("1102",Y$1,$B66)</f>
        <v>1.8738999999999999</v>
      </c>
      <c r="Z66" s="7">
        <f ca="1">[1]!b_calc_curve_chinabond("1102",Z$1,$B66)</f>
        <v>0</v>
      </c>
      <c r="AA66" s="7">
        <f ca="1">[1]!b_calc_curve_chinabond("1102",AA$1,$B66)</f>
        <v>0</v>
      </c>
      <c r="AB66" s="7">
        <f ca="1">[1]!b_calc_curve_chinabond("1102",AB$1,$B66)</f>
        <v>1.8744000000000001</v>
      </c>
      <c r="AC66" s="7">
        <f ca="1">[1]!b_calc_curve_chinabond("1102",AC$1,$B66)</f>
        <v>1.8676999999999999</v>
      </c>
      <c r="AD66" s="7">
        <f ca="1">[1]!b_calc_curve_chinabond("1102",AD$1,$B66)</f>
        <v>1.8548</v>
      </c>
      <c r="AE66" s="7">
        <f ca="1">[1]!b_calc_curve_chinabond("1102",AE$1,$B66)</f>
        <v>1.8448</v>
      </c>
      <c r="AF66" s="7">
        <f ca="1">[1]!b_calc_curve_chinabond("1102",AF$1,$B66)</f>
        <v>0</v>
      </c>
      <c r="AG66" s="7">
        <f ca="1">[1]!b_calc_curve_chinabond("1102",AG$1,$B66)</f>
        <v>0</v>
      </c>
      <c r="AH66" s="7">
        <f ca="1">[1]!b_calc_curve_chinabond("1102",AH$1,$B66)</f>
        <v>0</v>
      </c>
      <c r="AI66" s="7">
        <f ca="1">[1]!b_calc_curve_chinabond("1102",AI$1,$B66)</f>
        <v>0</v>
      </c>
    </row>
    <row r="67" spans="1:35" ht="19.5" customHeight="1">
      <c r="A67" s="3" t="s">
        <v>67</v>
      </c>
      <c r="B67" s="4">
        <v>5.9</v>
      </c>
      <c r="C67" s="7">
        <f ca="1">[1]!b_calc_curve_chinabond("1102",C$1,$B67)</f>
        <v>1.9020999999999999</v>
      </c>
      <c r="D67" s="7">
        <f ca="1">[1]!b_calc_curve_chinabond("1102",D$1,$B67)</f>
        <v>1.8966000000000001</v>
      </c>
      <c r="E67" s="7">
        <f ca="1">[1]!b_calc_curve_chinabond("1102",E$1,$B67)</f>
        <v>0</v>
      </c>
      <c r="F67" s="7">
        <f ca="1">[1]!b_calc_curve_chinabond("1102",F$1,$B67)</f>
        <v>0</v>
      </c>
      <c r="G67" s="7">
        <f ca="1">[1]!b_calc_curve_chinabond("1102",G$1,$B67)</f>
        <v>1.8926000000000001</v>
      </c>
      <c r="H67" s="7">
        <f ca="1">[1]!b_calc_curve_chinabond("1102",H$1,$B67)</f>
        <v>1.8874</v>
      </c>
      <c r="I67" s="7">
        <f ca="1">[1]!b_calc_curve_chinabond("1102",I$1,$B67)</f>
        <v>1.8815</v>
      </c>
      <c r="J67" s="7">
        <f ca="1">[1]!b_calc_curve_chinabond("1102",J$1,$B67)</f>
        <v>1.8758999999999999</v>
      </c>
      <c r="K67" s="7">
        <f ca="1">[1]!b_calc_curve_chinabond("1102",K$1,$B67)</f>
        <v>1.8504</v>
      </c>
      <c r="L67" s="7">
        <f ca="1">[1]!b_calc_curve_chinabond("1102",L$1,$B67)</f>
        <v>0</v>
      </c>
      <c r="M67" s="7">
        <f ca="1">[1]!b_calc_curve_chinabond("1102",M$1,$B67)</f>
        <v>0</v>
      </c>
      <c r="N67" s="7">
        <f ca="1">[1]!b_calc_curve_chinabond("1102",N$1,$B67)</f>
        <v>1.8322000000000001</v>
      </c>
      <c r="O67" s="7">
        <f ca="1">[1]!b_calc_curve_chinabond("1102",O$1,$B67)</f>
        <v>1.8218000000000001</v>
      </c>
      <c r="P67" s="7">
        <f ca="1">[1]!b_calc_curve_chinabond("1102",P$1,$B67)</f>
        <v>1.8207</v>
      </c>
      <c r="Q67" s="7">
        <f ca="1">[1]!b_calc_curve_chinabond("1102",Q$1,$B67)</f>
        <v>1.8109</v>
      </c>
      <c r="R67" s="7">
        <f ca="1">[1]!b_calc_curve_chinabond("1102",R$1,$B67)</f>
        <v>1.8033999999999999</v>
      </c>
      <c r="S67" s="7">
        <f ca="1">[1]!b_calc_curve_chinabond("1102",S$1,$B67)</f>
        <v>0</v>
      </c>
      <c r="T67" s="7">
        <f ca="1">[1]!b_calc_curve_chinabond("1102",T$1,$B67)</f>
        <v>0</v>
      </c>
      <c r="U67" s="7">
        <f ca="1">[1]!b_calc_curve_chinabond("1102",U$1,$B67)</f>
        <v>1.8232999999999999</v>
      </c>
      <c r="V67" s="7">
        <f ca="1">[1]!b_calc_curve_chinabond("1102",V$1,$B67)</f>
        <v>1.8257000000000001</v>
      </c>
      <c r="W67" s="7">
        <f ca="1">[1]!b_calc_curve_chinabond("1102",W$1,$B67)</f>
        <v>1.8453999999999999</v>
      </c>
      <c r="X67" s="7">
        <f ca="1">[1]!b_calc_curve_chinabond("1102",X$1,$B67)</f>
        <v>1.8512</v>
      </c>
      <c r="Y67" s="7">
        <f ca="1">[1]!b_calc_curve_chinabond("1102",Y$1,$B67)</f>
        <v>1.8768</v>
      </c>
      <c r="Z67" s="7">
        <f ca="1">[1]!b_calc_curve_chinabond("1102",Z$1,$B67)</f>
        <v>0</v>
      </c>
      <c r="AA67" s="7">
        <f ca="1">[1]!b_calc_curve_chinabond("1102",AA$1,$B67)</f>
        <v>0</v>
      </c>
      <c r="AB67" s="7">
        <f ca="1">[1]!b_calc_curve_chinabond("1102",AB$1,$B67)</f>
        <v>1.8775999999999999</v>
      </c>
      <c r="AC67" s="7">
        <f ca="1">[1]!b_calc_curve_chinabond("1102",AC$1,$B67)</f>
        <v>1.8724000000000001</v>
      </c>
      <c r="AD67" s="7">
        <f ca="1">[1]!b_calc_curve_chinabond("1102",AD$1,$B67)</f>
        <v>1.8596999999999999</v>
      </c>
      <c r="AE67" s="7">
        <f ca="1">[1]!b_calc_curve_chinabond("1102",AE$1,$B67)</f>
        <v>1.8511</v>
      </c>
      <c r="AF67" s="7">
        <f ca="1">[1]!b_calc_curve_chinabond("1102",AF$1,$B67)</f>
        <v>0</v>
      </c>
      <c r="AG67" s="7">
        <f ca="1">[1]!b_calc_curve_chinabond("1102",AG$1,$B67)</f>
        <v>0</v>
      </c>
      <c r="AH67" s="7">
        <f ca="1">[1]!b_calc_curve_chinabond("1102",AH$1,$B67)</f>
        <v>0</v>
      </c>
      <c r="AI67" s="7">
        <f ca="1">[1]!b_calc_curve_chinabond("1102",AI$1,$B67)</f>
        <v>0</v>
      </c>
    </row>
    <row r="68" spans="1:35" ht="19.5" customHeight="1">
      <c r="A68" s="1" t="s">
        <v>68</v>
      </c>
      <c r="B68" s="2">
        <v>6</v>
      </c>
      <c r="C68" s="7">
        <f ca="1">[1]!b_calc_curve_chinabond("1102",C$1,$B68)</f>
        <v>1.9108000000000001</v>
      </c>
      <c r="D68" s="7">
        <f ca="1">[1]!b_calc_curve_chinabond("1102",D$1,$B68)</f>
        <v>1.905</v>
      </c>
      <c r="E68" s="7">
        <f ca="1">[1]!b_calc_curve_chinabond("1102",E$1,$B68)</f>
        <v>0</v>
      </c>
      <c r="F68" s="7">
        <f ca="1">[1]!b_calc_curve_chinabond("1102",F$1,$B68)</f>
        <v>0</v>
      </c>
      <c r="G68" s="7">
        <f ca="1">[1]!b_calc_curve_chinabond("1102",G$1,$B68)</f>
        <v>1.901</v>
      </c>
      <c r="H68" s="7">
        <f ca="1">[1]!b_calc_curve_chinabond("1102",H$1,$B68)</f>
        <v>1.8969</v>
      </c>
      <c r="I68" s="7">
        <f ca="1">[1]!b_calc_curve_chinabond("1102",I$1,$B68)</f>
        <v>1.8909</v>
      </c>
      <c r="J68" s="7">
        <f ca="1">[1]!b_calc_curve_chinabond("1102",J$1,$B68)</f>
        <v>1.8856999999999999</v>
      </c>
      <c r="K68" s="7">
        <f ca="1">[1]!b_calc_curve_chinabond("1102",K$1,$B68)</f>
        <v>1.8592</v>
      </c>
      <c r="L68" s="7">
        <f ca="1">[1]!b_calc_curve_chinabond("1102",L$1,$B68)</f>
        <v>0</v>
      </c>
      <c r="M68" s="7">
        <f ca="1">[1]!b_calc_curve_chinabond("1102",M$1,$B68)</f>
        <v>0</v>
      </c>
      <c r="N68" s="7">
        <f ca="1">[1]!b_calc_curve_chinabond("1102",N$1,$B68)</f>
        <v>1.8394999999999999</v>
      </c>
      <c r="O68" s="7">
        <f ca="1">[1]!b_calc_curve_chinabond("1102",O$1,$B68)</f>
        <v>1.8286</v>
      </c>
      <c r="P68" s="7">
        <f ca="1">[1]!b_calc_curve_chinabond("1102",P$1,$B68)</f>
        <v>1.8282</v>
      </c>
      <c r="Q68" s="7">
        <f ca="1">[1]!b_calc_curve_chinabond("1102",Q$1,$B68)</f>
        <v>1.8183</v>
      </c>
      <c r="R68" s="7">
        <f ca="1">[1]!b_calc_curve_chinabond("1102",R$1,$B68)</f>
        <v>1.8119000000000001</v>
      </c>
      <c r="S68" s="7">
        <f ca="1">[1]!b_calc_curve_chinabond("1102",S$1,$B68)</f>
        <v>0</v>
      </c>
      <c r="T68" s="7">
        <f ca="1">[1]!b_calc_curve_chinabond("1102",T$1,$B68)</f>
        <v>0</v>
      </c>
      <c r="U68" s="7">
        <f ca="1">[1]!b_calc_curve_chinabond("1102",U$1,$B68)</f>
        <v>1.8301000000000001</v>
      </c>
      <c r="V68" s="7">
        <f ca="1">[1]!b_calc_curve_chinabond("1102",V$1,$B68)</f>
        <v>1.8329</v>
      </c>
      <c r="W68" s="7">
        <f ca="1">[1]!b_calc_curve_chinabond("1102",W$1,$B68)</f>
        <v>1.8494999999999999</v>
      </c>
      <c r="X68" s="7">
        <f ca="1">[1]!b_calc_curve_chinabond("1102",X$1,$B68)</f>
        <v>1.8560000000000001</v>
      </c>
      <c r="Y68" s="7">
        <f ca="1">[1]!b_calc_curve_chinabond("1102",Y$1,$B68)</f>
        <v>1.8805000000000001</v>
      </c>
      <c r="Z68" s="7">
        <f ca="1">[1]!b_calc_curve_chinabond("1102",Z$1,$B68)</f>
        <v>0</v>
      </c>
      <c r="AA68" s="7">
        <f ca="1">[1]!b_calc_curve_chinabond("1102",AA$1,$B68)</f>
        <v>0</v>
      </c>
      <c r="AB68" s="7">
        <f ca="1">[1]!b_calc_curve_chinabond("1102",AB$1,$B68)</f>
        <v>1.8815</v>
      </c>
      <c r="AC68" s="7">
        <f ca="1">[1]!b_calc_curve_chinabond("1102",AC$1,$B68)</f>
        <v>1.8775999999999999</v>
      </c>
      <c r="AD68" s="7">
        <f ca="1">[1]!b_calc_curve_chinabond("1102",AD$1,$B68)</f>
        <v>1.8649</v>
      </c>
      <c r="AE68" s="7">
        <f ca="1">[1]!b_calc_curve_chinabond("1102",AE$1,$B68)</f>
        <v>1.8575999999999999</v>
      </c>
      <c r="AF68" s="7">
        <f ca="1">[1]!b_calc_curve_chinabond("1102",AF$1,$B68)</f>
        <v>0</v>
      </c>
      <c r="AG68" s="7">
        <f ca="1">[1]!b_calc_curve_chinabond("1102",AG$1,$B68)</f>
        <v>0</v>
      </c>
      <c r="AH68" s="7">
        <f ca="1">[1]!b_calc_curve_chinabond("1102",AH$1,$B68)</f>
        <v>0</v>
      </c>
      <c r="AI68" s="7">
        <f ca="1">[1]!b_calc_curve_chinabond("1102",AI$1,$B68)</f>
        <v>0</v>
      </c>
    </row>
    <row r="69" spans="1:35" ht="19.5" customHeight="1">
      <c r="A69" s="3" t="s">
        <v>69</v>
      </c>
      <c r="B69" s="4">
        <v>6.1</v>
      </c>
      <c r="C69" s="7">
        <f ca="1">[1]!b_calc_curve_chinabond("1102",C$1,$B69)</f>
        <v>1.9198</v>
      </c>
      <c r="D69" s="7">
        <f ca="1">[1]!b_calc_curve_chinabond("1102",D$1,$B69)</f>
        <v>1.9137</v>
      </c>
      <c r="E69" s="7">
        <f ca="1">[1]!b_calc_curve_chinabond("1102",E$1,$B69)</f>
        <v>0</v>
      </c>
      <c r="F69" s="7">
        <f ca="1">[1]!b_calc_curve_chinabond("1102",F$1,$B69)</f>
        <v>0</v>
      </c>
      <c r="G69" s="7">
        <f ca="1">[1]!b_calc_curve_chinabond("1102",G$1,$B69)</f>
        <v>1.9096</v>
      </c>
      <c r="H69" s="7">
        <f ca="1">[1]!b_calc_curve_chinabond("1102",H$1,$B69)</f>
        <v>1.9064000000000001</v>
      </c>
      <c r="I69" s="7">
        <f ca="1">[1]!b_calc_curve_chinabond("1102",I$1,$B69)</f>
        <v>1.9004000000000001</v>
      </c>
      <c r="J69" s="7">
        <f ca="1">[1]!b_calc_curve_chinabond("1102",J$1,$B69)</f>
        <v>1.8954</v>
      </c>
      <c r="K69" s="7">
        <f ca="1">[1]!b_calc_curve_chinabond("1102",K$1,$B69)</f>
        <v>1.8689</v>
      </c>
      <c r="L69" s="7">
        <f ca="1">[1]!b_calc_curve_chinabond("1102",L$1,$B69)</f>
        <v>0</v>
      </c>
      <c r="M69" s="7">
        <f ca="1">[1]!b_calc_curve_chinabond("1102",M$1,$B69)</f>
        <v>0</v>
      </c>
      <c r="N69" s="7">
        <f ca="1">[1]!b_calc_curve_chinabond("1102",N$1,$B69)</f>
        <v>1.8476999999999999</v>
      </c>
      <c r="O69" s="7">
        <f ca="1">[1]!b_calc_curve_chinabond("1102",O$1,$B69)</f>
        <v>1.8369</v>
      </c>
      <c r="P69" s="7">
        <f ca="1">[1]!b_calc_curve_chinabond("1102",P$1,$B69)</f>
        <v>1.8368</v>
      </c>
      <c r="Q69" s="7">
        <f ca="1">[1]!b_calc_curve_chinabond("1102",Q$1,$B69)</f>
        <v>1.8268</v>
      </c>
      <c r="R69" s="7">
        <f ca="1">[1]!b_calc_curve_chinabond("1102",R$1,$B69)</f>
        <v>1.8210999999999999</v>
      </c>
      <c r="S69" s="7">
        <f ca="1">[1]!b_calc_curve_chinabond("1102",S$1,$B69)</f>
        <v>0</v>
      </c>
      <c r="T69" s="7">
        <f ca="1">[1]!b_calc_curve_chinabond("1102",T$1,$B69)</f>
        <v>0</v>
      </c>
      <c r="U69" s="7">
        <f ca="1">[1]!b_calc_curve_chinabond("1102",U$1,$B69)</f>
        <v>1.8380000000000001</v>
      </c>
      <c r="V69" s="7">
        <f ca="1">[1]!b_calc_curve_chinabond("1102",V$1,$B69)</f>
        <v>1.8419000000000001</v>
      </c>
      <c r="W69" s="7">
        <f ca="1">[1]!b_calc_curve_chinabond("1102",W$1,$B69)</f>
        <v>1.8554999999999999</v>
      </c>
      <c r="X69" s="7">
        <f ca="1">[1]!b_calc_curve_chinabond("1102",X$1,$B69)</f>
        <v>1.8632</v>
      </c>
      <c r="Y69" s="7">
        <f ca="1">[1]!b_calc_curve_chinabond("1102",Y$1,$B69)</f>
        <v>1.8859999999999999</v>
      </c>
      <c r="Z69" s="7">
        <f ca="1">[1]!b_calc_curve_chinabond("1102",Z$1,$B69)</f>
        <v>0</v>
      </c>
      <c r="AA69" s="7">
        <f ca="1">[1]!b_calc_curve_chinabond("1102",AA$1,$B69)</f>
        <v>0</v>
      </c>
      <c r="AB69" s="7">
        <f ca="1">[1]!b_calc_curve_chinabond("1102",AB$1,$B69)</f>
        <v>1.8872</v>
      </c>
      <c r="AC69" s="7">
        <f ca="1">[1]!b_calc_curve_chinabond("1102",AC$1,$B69)</f>
        <v>1.8841000000000001</v>
      </c>
      <c r="AD69" s="7">
        <f ca="1">[1]!b_calc_curve_chinabond("1102",AD$1,$B69)</f>
        <v>1.8715999999999999</v>
      </c>
      <c r="AE69" s="7">
        <f ca="1">[1]!b_calc_curve_chinabond("1102",AE$1,$B69)</f>
        <v>1.8652</v>
      </c>
      <c r="AF69" s="7">
        <f ca="1">[1]!b_calc_curve_chinabond("1102",AF$1,$B69)</f>
        <v>0</v>
      </c>
      <c r="AG69" s="7">
        <f ca="1">[1]!b_calc_curve_chinabond("1102",AG$1,$B69)</f>
        <v>0</v>
      </c>
      <c r="AH69" s="7">
        <f ca="1">[1]!b_calc_curve_chinabond("1102",AH$1,$B69)</f>
        <v>0</v>
      </c>
      <c r="AI69" s="7">
        <f ca="1">[1]!b_calc_curve_chinabond("1102",AI$1,$B69)</f>
        <v>0</v>
      </c>
    </row>
    <row r="70" spans="1:35" ht="19.5" customHeight="1">
      <c r="A70" s="1" t="s">
        <v>70</v>
      </c>
      <c r="B70" s="2">
        <v>6.2</v>
      </c>
      <c r="C70" s="7">
        <f ca="1">[1]!b_calc_curve_chinabond("1102",C$1,$B70)</f>
        <v>1.9292</v>
      </c>
      <c r="D70" s="7">
        <f ca="1">[1]!b_calc_curve_chinabond("1102",D$1,$B70)</f>
        <v>1.923</v>
      </c>
      <c r="E70" s="7">
        <f ca="1">[1]!b_calc_curve_chinabond("1102",E$1,$B70)</f>
        <v>0</v>
      </c>
      <c r="F70" s="7">
        <f ca="1">[1]!b_calc_curve_chinabond("1102",F$1,$B70)</f>
        <v>0</v>
      </c>
      <c r="G70" s="7">
        <f ca="1">[1]!b_calc_curve_chinabond("1102",G$1,$B70)</f>
        <v>1.9188000000000001</v>
      </c>
      <c r="H70" s="7">
        <f ca="1">[1]!b_calc_curve_chinabond("1102",H$1,$B70)</f>
        <v>1.9160999999999999</v>
      </c>
      <c r="I70" s="7">
        <f ca="1">[1]!b_calc_curve_chinabond("1102",I$1,$B70)</f>
        <v>1.9101999999999999</v>
      </c>
      <c r="J70" s="7">
        <f ca="1">[1]!b_calc_curve_chinabond("1102",J$1,$B70)</f>
        <v>1.9051</v>
      </c>
      <c r="K70" s="7">
        <f ca="1">[1]!b_calc_curve_chinabond("1102",K$1,$B70)</f>
        <v>1.8794</v>
      </c>
      <c r="L70" s="7">
        <f ca="1">[1]!b_calc_curve_chinabond("1102",L$1,$B70)</f>
        <v>0</v>
      </c>
      <c r="M70" s="7">
        <f ca="1">[1]!b_calc_curve_chinabond("1102",M$1,$B70)</f>
        <v>0</v>
      </c>
      <c r="N70" s="7">
        <f ca="1">[1]!b_calc_curve_chinabond("1102",N$1,$B70)</f>
        <v>1.8577999999999999</v>
      </c>
      <c r="O70" s="7">
        <f ca="1">[1]!b_calc_curve_chinabond("1102",O$1,$B70)</f>
        <v>1.8479000000000001</v>
      </c>
      <c r="P70" s="7">
        <f ca="1">[1]!b_calc_curve_chinabond("1102",P$1,$B70)</f>
        <v>1.8474999999999999</v>
      </c>
      <c r="Q70" s="7">
        <f ca="1">[1]!b_calc_curve_chinabond("1102",Q$1,$B70)</f>
        <v>1.8371</v>
      </c>
      <c r="R70" s="7">
        <f ca="1">[1]!b_calc_curve_chinabond("1102",R$1,$B70)</f>
        <v>1.8319000000000001</v>
      </c>
      <c r="S70" s="7">
        <f ca="1">[1]!b_calc_curve_chinabond("1102",S$1,$B70)</f>
        <v>0</v>
      </c>
      <c r="T70" s="7">
        <f ca="1">[1]!b_calc_curve_chinabond("1102",T$1,$B70)</f>
        <v>0</v>
      </c>
      <c r="U70" s="7">
        <f ca="1">[1]!b_calc_curve_chinabond("1102",U$1,$B70)</f>
        <v>1.8474999999999999</v>
      </c>
      <c r="V70" s="7">
        <f ca="1">[1]!b_calc_curve_chinabond("1102",V$1,$B70)</f>
        <v>1.8524</v>
      </c>
      <c r="W70" s="7">
        <f ca="1">[1]!b_calc_curve_chinabond("1102",W$1,$B70)</f>
        <v>1.8640000000000001</v>
      </c>
      <c r="X70" s="7">
        <f ca="1">[1]!b_calc_curve_chinabond("1102",X$1,$B70)</f>
        <v>1.8724000000000001</v>
      </c>
      <c r="Y70" s="7">
        <f ca="1">[1]!b_calc_curve_chinabond("1102",Y$1,$B70)</f>
        <v>1.8937999999999999</v>
      </c>
      <c r="Z70" s="7">
        <f ca="1">[1]!b_calc_curve_chinabond("1102",Z$1,$B70)</f>
        <v>0</v>
      </c>
      <c r="AA70" s="7">
        <f ca="1">[1]!b_calc_curve_chinabond("1102",AA$1,$B70)</f>
        <v>0</v>
      </c>
      <c r="AB70" s="7">
        <f ca="1">[1]!b_calc_curve_chinabond("1102",AB$1,$B70)</f>
        <v>1.8951</v>
      </c>
      <c r="AC70" s="7">
        <f ca="1">[1]!b_calc_curve_chinabond("1102",AC$1,$B70)</f>
        <v>1.8926000000000001</v>
      </c>
      <c r="AD70" s="7">
        <f ca="1">[1]!b_calc_curve_chinabond("1102",AD$1,$B70)</f>
        <v>1.8802000000000001</v>
      </c>
      <c r="AE70" s="7">
        <f ca="1">[1]!b_calc_curve_chinabond("1102",AE$1,$B70)</f>
        <v>1.8748</v>
      </c>
      <c r="AF70" s="7">
        <f ca="1">[1]!b_calc_curve_chinabond("1102",AF$1,$B70)</f>
        <v>0</v>
      </c>
      <c r="AG70" s="7">
        <f ca="1">[1]!b_calc_curve_chinabond("1102",AG$1,$B70)</f>
        <v>0</v>
      </c>
      <c r="AH70" s="7">
        <f ca="1">[1]!b_calc_curve_chinabond("1102",AH$1,$B70)</f>
        <v>0</v>
      </c>
      <c r="AI70" s="7">
        <f ca="1">[1]!b_calc_curve_chinabond("1102",AI$1,$B70)</f>
        <v>0</v>
      </c>
    </row>
    <row r="71" spans="1:35" ht="19.5" customHeight="1">
      <c r="A71" s="3" t="s">
        <v>71</v>
      </c>
      <c r="B71" s="4">
        <v>6.3</v>
      </c>
      <c r="C71" s="7">
        <f ca="1">[1]!b_calc_curve_chinabond("1102",C$1,$B71)</f>
        <v>1.9391</v>
      </c>
      <c r="D71" s="7">
        <f ca="1">[1]!b_calc_curve_chinabond("1102",D$1,$B71)</f>
        <v>1.9328000000000001</v>
      </c>
      <c r="E71" s="7">
        <f ca="1">[1]!b_calc_curve_chinabond("1102",E$1,$B71)</f>
        <v>0</v>
      </c>
      <c r="F71" s="7">
        <f ca="1">[1]!b_calc_curve_chinabond("1102",F$1,$B71)</f>
        <v>0</v>
      </c>
      <c r="G71" s="7">
        <f ca="1">[1]!b_calc_curve_chinabond("1102",G$1,$B71)</f>
        <v>1.9286000000000001</v>
      </c>
      <c r="H71" s="7">
        <f ca="1">[1]!b_calc_curve_chinabond("1102",H$1,$B71)</f>
        <v>1.9259999999999999</v>
      </c>
      <c r="I71" s="7">
        <f ca="1">[1]!b_calc_curve_chinabond("1102",I$1,$B71)</f>
        <v>1.9202999999999999</v>
      </c>
      <c r="J71" s="7">
        <f ca="1">[1]!b_calc_curve_chinabond("1102",J$1,$B71)</f>
        <v>1.9149</v>
      </c>
      <c r="K71" s="7">
        <f ca="1">[1]!b_calc_curve_chinabond("1102",K$1,$B71)</f>
        <v>1.8906000000000001</v>
      </c>
      <c r="L71" s="7">
        <f ca="1">[1]!b_calc_curve_chinabond("1102",L$1,$B71)</f>
        <v>0</v>
      </c>
      <c r="M71" s="7">
        <f ca="1">[1]!b_calc_curve_chinabond("1102",M$1,$B71)</f>
        <v>0</v>
      </c>
      <c r="N71" s="7">
        <f ca="1">[1]!b_calc_curve_chinabond("1102",N$1,$B71)</f>
        <v>1.8693</v>
      </c>
      <c r="O71" s="7">
        <f ca="1">[1]!b_calc_curve_chinabond("1102",O$1,$B71)</f>
        <v>1.8609</v>
      </c>
      <c r="P71" s="7">
        <f ca="1">[1]!b_calc_curve_chinabond("1102",P$1,$B71)</f>
        <v>1.8597999999999999</v>
      </c>
      <c r="Q71" s="7">
        <f ca="1">[1]!b_calc_curve_chinabond("1102",Q$1,$B71)</f>
        <v>1.8489</v>
      </c>
      <c r="R71" s="7">
        <f ca="1">[1]!b_calc_curve_chinabond("1102",R$1,$B71)</f>
        <v>1.8441000000000001</v>
      </c>
      <c r="S71" s="7">
        <f ca="1">[1]!b_calc_curve_chinabond("1102",S$1,$B71)</f>
        <v>0</v>
      </c>
      <c r="T71" s="7">
        <f ca="1">[1]!b_calc_curve_chinabond("1102",T$1,$B71)</f>
        <v>0</v>
      </c>
      <c r="U71" s="7">
        <f ca="1">[1]!b_calc_curve_chinabond("1102",U$1,$B71)</f>
        <v>1.8584000000000001</v>
      </c>
      <c r="V71" s="7">
        <f ca="1">[1]!b_calc_curve_chinabond("1102",V$1,$B71)</f>
        <v>1.8642000000000001</v>
      </c>
      <c r="W71" s="7">
        <f ca="1">[1]!b_calc_curve_chinabond("1102",W$1,$B71)</f>
        <v>1.8747</v>
      </c>
      <c r="X71" s="7">
        <f ca="1">[1]!b_calc_curve_chinabond("1102",X$1,$B71)</f>
        <v>1.8833</v>
      </c>
      <c r="Y71" s="7">
        <f ca="1">[1]!b_calc_curve_chinabond("1102",Y$1,$B71)</f>
        <v>1.9035</v>
      </c>
      <c r="Z71" s="7">
        <f ca="1">[1]!b_calc_curve_chinabond("1102",Z$1,$B71)</f>
        <v>0</v>
      </c>
      <c r="AA71" s="7">
        <f ca="1">[1]!b_calc_curve_chinabond("1102",AA$1,$B71)</f>
        <v>0</v>
      </c>
      <c r="AB71" s="7">
        <f ca="1">[1]!b_calc_curve_chinabond("1102",AB$1,$B71)</f>
        <v>1.905</v>
      </c>
      <c r="AC71" s="7">
        <f ca="1">[1]!b_calc_curve_chinabond("1102",AC$1,$B71)</f>
        <v>1.9027000000000001</v>
      </c>
      <c r="AD71" s="7">
        <f ca="1">[1]!b_calc_curve_chinabond("1102",AD$1,$B71)</f>
        <v>1.8905000000000001</v>
      </c>
      <c r="AE71" s="7">
        <f ca="1">[1]!b_calc_curve_chinabond("1102",AE$1,$B71)</f>
        <v>1.8859999999999999</v>
      </c>
      <c r="AF71" s="7">
        <f ca="1">[1]!b_calc_curve_chinabond("1102",AF$1,$B71)</f>
        <v>0</v>
      </c>
      <c r="AG71" s="7">
        <f ca="1">[1]!b_calc_curve_chinabond("1102",AG$1,$B71)</f>
        <v>0</v>
      </c>
      <c r="AH71" s="7">
        <f ca="1">[1]!b_calc_curve_chinabond("1102",AH$1,$B71)</f>
        <v>0</v>
      </c>
      <c r="AI71" s="7">
        <f ca="1">[1]!b_calc_curve_chinabond("1102",AI$1,$B71)</f>
        <v>0</v>
      </c>
    </row>
    <row r="72" spans="1:35" ht="19.5" customHeight="1">
      <c r="A72" s="1" t="s">
        <v>72</v>
      </c>
      <c r="B72" s="2">
        <v>6.4</v>
      </c>
      <c r="C72" s="7">
        <f ca="1">[1]!b_calc_curve_chinabond("1102",C$1,$B72)</f>
        <v>1.9492</v>
      </c>
      <c r="D72" s="7">
        <f ca="1">[1]!b_calc_curve_chinabond("1102",D$1,$B72)</f>
        <v>1.9430000000000001</v>
      </c>
      <c r="E72" s="7">
        <f ca="1">[1]!b_calc_curve_chinabond("1102",E$1,$B72)</f>
        <v>0</v>
      </c>
      <c r="F72" s="7">
        <f ca="1">[1]!b_calc_curve_chinabond("1102",F$1,$B72)</f>
        <v>0</v>
      </c>
      <c r="G72" s="7">
        <f ca="1">[1]!b_calc_curve_chinabond("1102",G$1,$B72)</f>
        <v>1.9387000000000001</v>
      </c>
      <c r="H72" s="7">
        <f ca="1">[1]!b_calc_curve_chinabond("1102",H$1,$B72)</f>
        <v>1.9360999999999999</v>
      </c>
      <c r="I72" s="7">
        <f ca="1">[1]!b_calc_curve_chinabond("1102",I$1,$B72)</f>
        <v>1.9306000000000001</v>
      </c>
      <c r="J72" s="7">
        <f ca="1">[1]!b_calc_curve_chinabond("1102",J$1,$B72)</f>
        <v>1.9248000000000001</v>
      </c>
      <c r="K72" s="7">
        <f ca="1">[1]!b_calc_curve_chinabond("1102",K$1,$B72)</f>
        <v>1.9024000000000001</v>
      </c>
      <c r="L72" s="7">
        <f ca="1">[1]!b_calc_curve_chinabond("1102",L$1,$B72)</f>
        <v>0</v>
      </c>
      <c r="M72" s="7">
        <f ca="1">[1]!b_calc_curve_chinabond("1102",M$1,$B72)</f>
        <v>0</v>
      </c>
      <c r="N72" s="7">
        <f ca="1">[1]!b_calc_curve_chinabond("1102",N$1,$B72)</f>
        <v>1.8818999999999999</v>
      </c>
      <c r="O72" s="7">
        <f ca="1">[1]!b_calc_curve_chinabond("1102",O$1,$B72)</f>
        <v>1.8754999999999999</v>
      </c>
      <c r="P72" s="7">
        <f ca="1">[1]!b_calc_curve_chinabond("1102",P$1,$B72)</f>
        <v>1.8734</v>
      </c>
      <c r="Q72" s="7">
        <f ca="1">[1]!b_calc_curve_chinabond("1102",Q$1,$B72)</f>
        <v>1.8620000000000001</v>
      </c>
      <c r="R72" s="7">
        <f ca="1">[1]!b_calc_curve_chinabond("1102",R$1,$B72)</f>
        <v>1.8573999999999999</v>
      </c>
      <c r="S72" s="7">
        <f ca="1">[1]!b_calc_curve_chinabond("1102",S$1,$B72)</f>
        <v>0</v>
      </c>
      <c r="T72" s="7">
        <f ca="1">[1]!b_calc_curve_chinabond("1102",T$1,$B72)</f>
        <v>0</v>
      </c>
      <c r="U72" s="7">
        <f ca="1">[1]!b_calc_curve_chinabond("1102",U$1,$B72)</f>
        <v>1.8706</v>
      </c>
      <c r="V72" s="7">
        <f ca="1">[1]!b_calc_curve_chinabond("1102",V$1,$B72)</f>
        <v>1.8769</v>
      </c>
      <c r="W72" s="7">
        <f ca="1">[1]!b_calc_curve_chinabond("1102",W$1,$B72)</f>
        <v>1.8869</v>
      </c>
      <c r="X72" s="7">
        <f ca="1">[1]!b_calc_curve_chinabond("1102",X$1,$B72)</f>
        <v>1.8955</v>
      </c>
      <c r="Y72" s="7">
        <f ca="1">[1]!b_calc_curve_chinabond("1102",Y$1,$B72)</f>
        <v>1.9146000000000001</v>
      </c>
      <c r="Z72" s="7">
        <f ca="1">[1]!b_calc_curve_chinabond("1102",Z$1,$B72)</f>
        <v>0</v>
      </c>
      <c r="AA72" s="7">
        <f ca="1">[1]!b_calc_curve_chinabond("1102",AA$1,$B72)</f>
        <v>0</v>
      </c>
      <c r="AB72" s="7">
        <f ca="1">[1]!b_calc_curve_chinabond("1102",AB$1,$B72)</f>
        <v>1.9164000000000001</v>
      </c>
      <c r="AC72" s="7">
        <f ca="1">[1]!b_calc_curve_chinabond("1102",AC$1,$B72)</f>
        <v>1.9139999999999999</v>
      </c>
      <c r="AD72" s="7">
        <f ca="1">[1]!b_calc_curve_chinabond("1102",AD$1,$B72)</f>
        <v>1.9020999999999999</v>
      </c>
      <c r="AE72" s="7">
        <f ca="1">[1]!b_calc_curve_chinabond("1102",AE$1,$B72)</f>
        <v>1.8985000000000001</v>
      </c>
      <c r="AF72" s="7">
        <f ca="1">[1]!b_calc_curve_chinabond("1102",AF$1,$B72)</f>
        <v>0</v>
      </c>
      <c r="AG72" s="7">
        <f ca="1">[1]!b_calc_curve_chinabond("1102",AG$1,$B72)</f>
        <v>0</v>
      </c>
      <c r="AH72" s="7">
        <f ca="1">[1]!b_calc_curve_chinabond("1102",AH$1,$B72)</f>
        <v>0</v>
      </c>
      <c r="AI72" s="7">
        <f ca="1">[1]!b_calc_curve_chinabond("1102",AI$1,$B72)</f>
        <v>0</v>
      </c>
    </row>
    <row r="73" spans="1:35" ht="19.5" customHeight="1">
      <c r="A73" s="3" t="s">
        <v>73</v>
      </c>
      <c r="B73" s="4">
        <v>6.5</v>
      </c>
      <c r="C73" s="7">
        <f ca="1">[1]!b_calc_curve_chinabond("1102",C$1,$B73)</f>
        <v>1.9596</v>
      </c>
      <c r="D73" s="7">
        <f ca="1">[1]!b_calc_curve_chinabond("1102",D$1,$B73)</f>
        <v>1.9534</v>
      </c>
      <c r="E73" s="7">
        <f ca="1">[1]!b_calc_curve_chinabond("1102",E$1,$B73)</f>
        <v>0</v>
      </c>
      <c r="F73" s="7">
        <f ca="1">[1]!b_calc_curve_chinabond("1102",F$1,$B73)</f>
        <v>0</v>
      </c>
      <c r="G73" s="7">
        <f ca="1">[1]!b_calc_curve_chinabond("1102",G$1,$B73)</f>
        <v>1.9492</v>
      </c>
      <c r="H73" s="7">
        <f ca="1">[1]!b_calc_curve_chinabond("1102",H$1,$B73)</f>
        <v>1.9462999999999999</v>
      </c>
      <c r="I73" s="7">
        <f ca="1">[1]!b_calc_curve_chinabond("1102",I$1,$B73)</f>
        <v>1.9411</v>
      </c>
      <c r="J73" s="7">
        <f ca="1">[1]!b_calc_curve_chinabond("1102",J$1,$B73)</f>
        <v>1.9347000000000001</v>
      </c>
      <c r="K73" s="7">
        <f ca="1">[1]!b_calc_curve_chinabond("1102",K$1,$B73)</f>
        <v>1.9145000000000001</v>
      </c>
      <c r="L73" s="7">
        <f ca="1">[1]!b_calc_curve_chinabond("1102",L$1,$B73)</f>
        <v>0</v>
      </c>
      <c r="M73" s="7">
        <f ca="1">[1]!b_calc_curve_chinabond("1102",M$1,$B73)</f>
        <v>0</v>
      </c>
      <c r="N73" s="7">
        <f ca="1">[1]!b_calc_curve_chinabond("1102",N$1,$B73)</f>
        <v>1.8955</v>
      </c>
      <c r="O73" s="7">
        <f ca="1">[1]!b_calc_curve_chinabond("1102",O$1,$B73)</f>
        <v>1.891</v>
      </c>
      <c r="P73" s="7">
        <f ca="1">[1]!b_calc_curve_chinabond("1102",P$1,$B73)</f>
        <v>1.8876999999999999</v>
      </c>
      <c r="Q73" s="7">
        <f ca="1">[1]!b_calc_curve_chinabond("1102",Q$1,$B73)</f>
        <v>1.8758999999999999</v>
      </c>
      <c r="R73" s="7">
        <f ca="1">[1]!b_calc_curve_chinabond("1102",R$1,$B73)</f>
        <v>1.8714</v>
      </c>
      <c r="S73" s="7">
        <f ca="1">[1]!b_calc_curve_chinabond("1102",S$1,$B73)</f>
        <v>0</v>
      </c>
      <c r="T73" s="7">
        <f ca="1">[1]!b_calc_curve_chinabond("1102",T$1,$B73)</f>
        <v>0</v>
      </c>
      <c r="U73" s="7">
        <f ca="1">[1]!b_calc_curve_chinabond("1102",U$1,$B73)</f>
        <v>1.8835</v>
      </c>
      <c r="V73" s="7">
        <f ca="1">[1]!b_calc_curve_chinabond("1102",V$1,$B73)</f>
        <v>1.8903000000000001</v>
      </c>
      <c r="W73" s="7">
        <f ca="1">[1]!b_calc_curve_chinabond("1102",W$1,$B73)</f>
        <v>1.9004000000000001</v>
      </c>
      <c r="X73" s="7">
        <f ca="1">[1]!b_calc_curve_chinabond("1102",X$1,$B73)</f>
        <v>1.9085000000000001</v>
      </c>
      <c r="Y73" s="7">
        <f ca="1">[1]!b_calc_curve_chinabond("1102",Y$1,$B73)</f>
        <v>1.9269000000000001</v>
      </c>
      <c r="Z73" s="7">
        <f ca="1">[1]!b_calc_curve_chinabond("1102",Z$1,$B73)</f>
        <v>0</v>
      </c>
      <c r="AA73" s="7">
        <f ca="1">[1]!b_calc_curve_chinabond("1102",AA$1,$B73)</f>
        <v>0</v>
      </c>
      <c r="AB73" s="7">
        <f ca="1">[1]!b_calc_curve_chinabond("1102",AB$1,$B73)</f>
        <v>1.9288000000000001</v>
      </c>
      <c r="AC73" s="7">
        <f ca="1">[1]!b_calc_curve_chinabond("1102",AC$1,$B73)</f>
        <v>1.9261999999999999</v>
      </c>
      <c r="AD73" s="7">
        <f ca="1">[1]!b_calc_curve_chinabond("1102",AD$1,$B73)</f>
        <v>1.9146000000000001</v>
      </c>
      <c r="AE73" s="7">
        <f ca="1">[1]!b_calc_curve_chinabond("1102",AE$1,$B73)</f>
        <v>1.9117999999999999</v>
      </c>
      <c r="AF73" s="7">
        <f ca="1">[1]!b_calc_curve_chinabond("1102",AF$1,$B73)</f>
        <v>0</v>
      </c>
      <c r="AG73" s="7">
        <f ca="1">[1]!b_calc_curve_chinabond("1102",AG$1,$B73)</f>
        <v>0</v>
      </c>
      <c r="AH73" s="7">
        <f ca="1">[1]!b_calc_curve_chinabond("1102",AH$1,$B73)</f>
        <v>0</v>
      </c>
      <c r="AI73" s="7">
        <f ca="1">[1]!b_calc_curve_chinabond("1102",AI$1,$B73)</f>
        <v>0</v>
      </c>
    </row>
    <row r="74" spans="1:35" ht="19.5" customHeight="1">
      <c r="A74" s="1" t="s">
        <v>74</v>
      </c>
      <c r="B74" s="2">
        <v>6.6</v>
      </c>
      <c r="C74" s="7">
        <f ca="1">[1]!b_calc_curve_chinabond("1102",C$1,$B74)</f>
        <v>1.9702</v>
      </c>
      <c r="D74" s="7">
        <f ca="1">[1]!b_calc_curve_chinabond("1102",D$1,$B74)</f>
        <v>1.9641</v>
      </c>
      <c r="E74" s="7">
        <f ca="1">[1]!b_calc_curve_chinabond("1102",E$1,$B74)</f>
        <v>0</v>
      </c>
      <c r="F74" s="7">
        <f ca="1">[1]!b_calc_curve_chinabond("1102",F$1,$B74)</f>
        <v>0</v>
      </c>
      <c r="G74" s="7">
        <f ca="1">[1]!b_calc_curve_chinabond("1102",G$1,$B74)</f>
        <v>1.9597</v>
      </c>
      <c r="H74" s="7">
        <f ca="1">[1]!b_calc_curve_chinabond("1102",H$1,$B74)</f>
        <v>1.9565999999999999</v>
      </c>
      <c r="I74" s="7">
        <f ca="1">[1]!b_calc_curve_chinabond("1102",I$1,$B74)</f>
        <v>1.9517</v>
      </c>
      <c r="J74" s="7">
        <f ca="1">[1]!b_calc_curve_chinabond("1102",J$1,$B74)</f>
        <v>1.9446000000000001</v>
      </c>
      <c r="K74" s="7">
        <f ca="1">[1]!b_calc_curve_chinabond("1102",K$1,$B74)</f>
        <v>1.9268000000000001</v>
      </c>
      <c r="L74" s="7">
        <f ca="1">[1]!b_calc_curve_chinabond("1102",L$1,$B74)</f>
        <v>0</v>
      </c>
      <c r="M74" s="7">
        <f ca="1">[1]!b_calc_curve_chinabond("1102",M$1,$B74)</f>
        <v>0</v>
      </c>
      <c r="N74" s="7">
        <f ca="1">[1]!b_calc_curve_chinabond("1102",N$1,$B74)</f>
        <v>1.9095</v>
      </c>
      <c r="O74" s="7">
        <f ca="1">[1]!b_calc_curve_chinabond("1102",O$1,$B74)</f>
        <v>1.907</v>
      </c>
      <c r="P74" s="7">
        <f ca="1">[1]!b_calc_curve_chinabond("1102",P$1,$B74)</f>
        <v>1.9023000000000001</v>
      </c>
      <c r="Q74" s="7">
        <f ca="1">[1]!b_calc_curve_chinabond("1102",Q$1,$B74)</f>
        <v>1.8902000000000001</v>
      </c>
      <c r="R74" s="7">
        <f ca="1">[1]!b_calc_curve_chinabond("1102",R$1,$B74)</f>
        <v>1.8859999999999999</v>
      </c>
      <c r="S74" s="7">
        <f ca="1">[1]!b_calc_curve_chinabond("1102",S$1,$B74)</f>
        <v>0</v>
      </c>
      <c r="T74" s="7">
        <f ca="1">[1]!b_calc_curve_chinabond("1102",T$1,$B74)</f>
        <v>0</v>
      </c>
      <c r="U74" s="7">
        <f ca="1">[1]!b_calc_curve_chinabond("1102",U$1,$B74)</f>
        <v>1.8972</v>
      </c>
      <c r="V74" s="7">
        <f ca="1">[1]!b_calc_curve_chinabond("1102",V$1,$B74)</f>
        <v>1.9041999999999999</v>
      </c>
      <c r="W74" s="7">
        <f ca="1">[1]!b_calc_curve_chinabond("1102",W$1,$B74)</f>
        <v>1.9146000000000001</v>
      </c>
      <c r="X74" s="7">
        <f ca="1">[1]!b_calc_curve_chinabond("1102",X$1,$B74)</f>
        <v>1.9219999999999999</v>
      </c>
      <c r="Y74" s="7">
        <f ca="1">[1]!b_calc_curve_chinabond("1102",Y$1,$B74)</f>
        <v>1.9399</v>
      </c>
      <c r="Z74" s="7">
        <f ca="1">[1]!b_calc_curve_chinabond("1102",Z$1,$B74)</f>
        <v>0</v>
      </c>
      <c r="AA74" s="7">
        <f ca="1">[1]!b_calc_curve_chinabond("1102",AA$1,$B74)</f>
        <v>0</v>
      </c>
      <c r="AB74" s="7">
        <f ca="1">[1]!b_calc_curve_chinabond("1102",AB$1,$B74)</f>
        <v>1.9419</v>
      </c>
      <c r="AC74" s="7">
        <f ca="1">[1]!b_calc_curve_chinabond("1102",AC$1,$B74)</f>
        <v>1.9391</v>
      </c>
      <c r="AD74" s="7">
        <f ca="1">[1]!b_calc_curve_chinabond("1102",AD$1,$B74)</f>
        <v>1.9277</v>
      </c>
      <c r="AE74" s="7">
        <f ca="1">[1]!b_calc_curve_chinabond("1102",AE$1,$B74)</f>
        <v>1.9258</v>
      </c>
      <c r="AF74" s="7">
        <f ca="1">[1]!b_calc_curve_chinabond("1102",AF$1,$B74)</f>
        <v>0</v>
      </c>
      <c r="AG74" s="7">
        <f ca="1">[1]!b_calc_curve_chinabond("1102",AG$1,$B74)</f>
        <v>0</v>
      </c>
      <c r="AH74" s="7">
        <f ca="1">[1]!b_calc_curve_chinabond("1102",AH$1,$B74)</f>
        <v>0</v>
      </c>
      <c r="AI74" s="7">
        <f ca="1">[1]!b_calc_curve_chinabond("1102",AI$1,$B74)</f>
        <v>0</v>
      </c>
    </row>
    <row r="75" spans="1:35" ht="19.5" customHeight="1">
      <c r="A75" s="3" t="s">
        <v>75</v>
      </c>
      <c r="B75" s="4">
        <v>6.7</v>
      </c>
      <c r="C75" s="7">
        <f ca="1">[1]!b_calc_curve_chinabond("1102",C$1,$B75)</f>
        <v>1.9807999999999999</v>
      </c>
      <c r="D75" s="7">
        <f ca="1">[1]!b_calc_curve_chinabond("1102",D$1,$B75)</f>
        <v>1.9748000000000001</v>
      </c>
      <c r="E75" s="7">
        <f ca="1">[1]!b_calc_curve_chinabond("1102",E$1,$B75)</f>
        <v>0</v>
      </c>
      <c r="F75" s="7">
        <f ca="1">[1]!b_calc_curve_chinabond("1102",F$1,$B75)</f>
        <v>0</v>
      </c>
      <c r="G75" s="7">
        <f ca="1">[1]!b_calc_curve_chinabond("1102",G$1,$B75)</f>
        <v>1.9703999999999999</v>
      </c>
      <c r="H75" s="7">
        <f ca="1">[1]!b_calc_curve_chinabond("1102",H$1,$B75)</f>
        <v>1.9669000000000001</v>
      </c>
      <c r="I75" s="7">
        <f ca="1">[1]!b_calc_curve_chinabond("1102",I$1,$B75)</f>
        <v>1.9623999999999999</v>
      </c>
      <c r="J75" s="7">
        <f ca="1">[1]!b_calc_curve_chinabond("1102",J$1,$B75)</f>
        <v>1.9545999999999999</v>
      </c>
      <c r="K75" s="7">
        <f ca="1">[1]!b_calc_curve_chinabond("1102",K$1,$B75)</f>
        <v>1.9392</v>
      </c>
      <c r="L75" s="7">
        <f ca="1">[1]!b_calc_curve_chinabond("1102",L$1,$B75)</f>
        <v>0</v>
      </c>
      <c r="M75" s="7">
        <f ca="1">[1]!b_calc_curve_chinabond("1102",M$1,$B75)</f>
        <v>0</v>
      </c>
      <c r="N75" s="7">
        <f ca="1">[1]!b_calc_curve_chinabond("1102",N$1,$B75)</f>
        <v>1.9238</v>
      </c>
      <c r="O75" s="7">
        <f ca="1">[1]!b_calc_curve_chinabond("1102",O$1,$B75)</f>
        <v>1.9228000000000001</v>
      </c>
      <c r="P75" s="7">
        <f ca="1">[1]!b_calc_curve_chinabond("1102",P$1,$B75)</f>
        <v>1.9169</v>
      </c>
      <c r="Q75" s="7">
        <f ca="1">[1]!b_calc_curve_chinabond("1102",Q$1,$B75)</f>
        <v>1.9047000000000001</v>
      </c>
      <c r="R75" s="7">
        <f ca="1">[1]!b_calc_curve_chinabond("1102",R$1,$B75)</f>
        <v>1.9008</v>
      </c>
      <c r="S75" s="7">
        <f ca="1">[1]!b_calc_curve_chinabond("1102",S$1,$B75)</f>
        <v>0</v>
      </c>
      <c r="T75" s="7">
        <f ca="1">[1]!b_calc_curve_chinabond("1102",T$1,$B75)</f>
        <v>0</v>
      </c>
      <c r="U75" s="7">
        <f ca="1">[1]!b_calc_curve_chinabond("1102",U$1,$B75)</f>
        <v>1.9111</v>
      </c>
      <c r="V75" s="7">
        <f ca="1">[1]!b_calc_curve_chinabond("1102",V$1,$B75)</f>
        <v>1.9181999999999999</v>
      </c>
      <c r="W75" s="7">
        <f ca="1">[1]!b_calc_curve_chinabond("1102",W$1,$B75)</f>
        <v>1.9291</v>
      </c>
      <c r="X75" s="7">
        <f ca="1">[1]!b_calc_curve_chinabond("1102",X$1,$B75)</f>
        <v>1.9356</v>
      </c>
      <c r="Y75" s="7">
        <f ca="1">[1]!b_calc_curve_chinabond("1102",Y$1,$B75)</f>
        <v>1.9531000000000001</v>
      </c>
      <c r="Z75" s="7">
        <f ca="1">[1]!b_calc_curve_chinabond("1102",Z$1,$B75)</f>
        <v>0</v>
      </c>
      <c r="AA75" s="7">
        <f ca="1">[1]!b_calc_curve_chinabond("1102",AA$1,$B75)</f>
        <v>0</v>
      </c>
      <c r="AB75" s="7">
        <f ca="1">[1]!b_calc_curve_chinabond("1102",AB$1,$B75)</f>
        <v>1.9553</v>
      </c>
      <c r="AC75" s="7">
        <f ca="1">[1]!b_calc_curve_chinabond("1102",AC$1,$B75)</f>
        <v>1.9520999999999999</v>
      </c>
      <c r="AD75" s="7">
        <f ca="1">[1]!b_calc_curve_chinabond("1102",AD$1,$B75)</f>
        <v>1.9410000000000001</v>
      </c>
      <c r="AE75" s="7">
        <f ca="1">[1]!b_calc_curve_chinabond("1102",AE$1,$B75)</f>
        <v>1.9399</v>
      </c>
      <c r="AF75" s="7">
        <f ca="1">[1]!b_calc_curve_chinabond("1102",AF$1,$B75)</f>
        <v>0</v>
      </c>
      <c r="AG75" s="7">
        <f ca="1">[1]!b_calc_curve_chinabond("1102",AG$1,$B75)</f>
        <v>0</v>
      </c>
      <c r="AH75" s="7">
        <f ca="1">[1]!b_calc_curve_chinabond("1102",AH$1,$B75)</f>
        <v>0</v>
      </c>
      <c r="AI75" s="7">
        <f ca="1">[1]!b_calc_curve_chinabond("1102",AI$1,$B75)</f>
        <v>0</v>
      </c>
    </row>
    <row r="76" spans="1:35" ht="19.5" customHeight="1">
      <c r="A76" s="1" t="s">
        <v>76</v>
      </c>
      <c r="B76" s="2">
        <v>6.8</v>
      </c>
      <c r="C76" s="7">
        <f ca="1">[1]!b_calc_curve_chinabond("1102",C$1,$B76)</f>
        <v>1.9914000000000001</v>
      </c>
      <c r="D76" s="7">
        <f ca="1">[1]!b_calc_curve_chinabond("1102",D$1,$B76)</f>
        <v>1.9855</v>
      </c>
      <c r="E76" s="7">
        <f ca="1">[1]!b_calc_curve_chinabond("1102",E$1,$B76)</f>
        <v>0</v>
      </c>
      <c r="F76" s="7">
        <f ca="1">[1]!b_calc_curve_chinabond("1102",F$1,$B76)</f>
        <v>0</v>
      </c>
      <c r="G76" s="7">
        <f ca="1">[1]!b_calc_curve_chinabond("1102",G$1,$B76)</f>
        <v>1.9810000000000001</v>
      </c>
      <c r="H76" s="7">
        <f ca="1">[1]!b_calc_curve_chinabond("1102",H$1,$B76)</f>
        <v>1.9772000000000001</v>
      </c>
      <c r="I76" s="7">
        <f ca="1">[1]!b_calc_curve_chinabond("1102",I$1,$B76)</f>
        <v>1.9731000000000001</v>
      </c>
      <c r="J76" s="7">
        <f ca="1">[1]!b_calc_curve_chinabond("1102",J$1,$B76)</f>
        <v>1.9644999999999999</v>
      </c>
      <c r="K76" s="7">
        <f ca="1">[1]!b_calc_curve_chinabond("1102",K$1,$B76)</f>
        <v>1.9515</v>
      </c>
      <c r="L76" s="7">
        <f ca="1">[1]!b_calc_curve_chinabond("1102",L$1,$B76)</f>
        <v>0</v>
      </c>
      <c r="M76" s="7">
        <f ca="1">[1]!b_calc_curve_chinabond("1102",M$1,$B76)</f>
        <v>0</v>
      </c>
      <c r="N76" s="7">
        <f ca="1">[1]!b_calc_curve_chinabond("1102",N$1,$B76)</f>
        <v>1.9379</v>
      </c>
      <c r="O76" s="7">
        <f ca="1">[1]!b_calc_curve_chinabond("1102",O$1,$B76)</f>
        <v>1.9379999999999999</v>
      </c>
      <c r="P76" s="7">
        <f ca="1">[1]!b_calc_curve_chinabond("1102",P$1,$B76)</f>
        <v>1.931</v>
      </c>
      <c r="Q76" s="7">
        <f ca="1">[1]!b_calc_curve_chinabond("1102",Q$1,$B76)</f>
        <v>1.919</v>
      </c>
      <c r="R76" s="7">
        <f ca="1">[1]!b_calc_curve_chinabond("1102",R$1,$B76)</f>
        <v>1.9155</v>
      </c>
      <c r="S76" s="7">
        <f ca="1">[1]!b_calc_curve_chinabond("1102",S$1,$B76)</f>
        <v>0</v>
      </c>
      <c r="T76" s="7">
        <f ca="1">[1]!b_calc_curve_chinabond("1102",T$1,$B76)</f>
        <v>0</v>
      </c>
      <c r="U76" s="7">
        <f ca="1">[1]!b_calc_curve_chinabond("1102",U$1,$B76)</f>
        <v>1.9252</v>
      </c>
      <c r="V76" s="7">
        <f ca="1">[1]!b_calc_curve_chinabond("1102",V$1,$B76)</f>
        <v>1.9320999999999999</v>
      </c>
      <c r="W76" s="7">
        <f ca="1">[1]!b_calc_curve_chinabond("1102",W$1,$B76)</f>
        <v>1.9435</v>
      </c>
      <c r="X76" s="7">
        <f ca="1">[1]!b_calc_curve_chinabond("1102",X$1,$B76)</f>
        <v>1.9488000000000001</v>
      </c>
      <c r="Y76" s="7">
        <f ca="1">[1]!b_calc_curve_chinabond("1102",Y$1,$B76)</f>
        <v>1.9661999999999999</v>
      </c>
      <c r="Z76" s="7">
        <f ca="1">[1]!b_calc_curve_chinabond("1102",Z$1,$B76)</f>
        <v>0</v>
      </c>
      <c r="AA76" s="7">
        <f ca="1">[1]!b_calc_curve_chinabond("1102",AA$1,$B76)</f>
        <v>0</v>
      </c>
      <c r="AB76" s="7">
        <f ca="1">[1]!b_calc_curve_chinabond("1102",AB$1,$B76)</f>
        <v>1.9685999999999999</v>
      </c>
      <c r="AC76" s="7">
        <f ca="1">[1]!b_calc_curve_chinabond("1102",AC$1,$B76)</f>
        <v>1.9650000000000001</v>
      </c>
      <c r="AD76" s="7">
        <f ca="1">[1]!b_calc_curve_chinabond("1102",AD$1,$B76)</f>
        <v>1.9541999999999999</v>
      </c>
      <c r="AE76" s="7">
        <f ca="1">[1]!b_calc_curve_chinabond("1102",AE$1,$B76)</f>
        <v>1.9539</v>
      </c>
      <c r="AF76" s="7">
        <f ca="1">[1]!b_calc_curve_chinabond("1102",AF$1,$B76)</f>
        <v>0</v>
      </c>
      <c r="AG76" s="7">
        <f ca="1">[1]!b_calc_curve_chinabond("1102",AG$1,$B76)</f>
        <v>0</v>
      </c>
      <c r="AH76" s="7">
        <f ca="1">[1]!b_calc_curve_chinabond("1102",AH$1,$B76)</f>
        <v>0</v>
      </c>
      <c r="AI76" s="7">
        <f ca="1">[1]!b_calc_curve_chinabond("1102",AI$1,$B76)</f>
        <v>0</v>
      </c>
    </row>
    <row r="77" spans="1:35" ht="19.5" customHeight="1">
      <c r="A77" s="3" t="s">
        <v>77</v>
      </c>
      <c r="B77" s="4">
        <v>6.9</v>
      </c>
      <c r="C77" s="7">
        <f ca="1">[1]!b_calc_curve_chinabond("1102",C$1,$B77)</f>
        <v>2.0017999999999998</v>
      </c>
      <c r="D77" s="7">
        <f ca="1">[1]!b_calc_curve_chinabond("1102",D$1,$B77)</f>
        <v>1.996</v>
      </c>
      <c r="E77" s="7">
        <f ca="1">[1]!b_calc_curve_chinabond("1102",E$1,$B77)</f>
        <v>0</v>
      </c>
      <c r="F77" s="7">
        <f ca="1">[1]!b_calc_curve_chinabond("1102",F$1,$B77)</f>
        <v>0</v>
      </c>
      <c r="G77" s="7">
        <f ca="1">[1]!b_calc_curve_chinabond("1102",G$1,$B77)</f>
        <v>1.9915</v>
      </c>
      <c r="H77" s="7">
        <f ca="1">[1]!b_calc_curve_chinabond("1102",H$1,$B77)</f>
        <v>1.9875</v>
      </c>
      <c r="I77" s="7">
        <f ca="1">[1]!b_calc_curve_chinabond("1102",I$1,$B77)</f>
        <v>1.9838</v>
      </c>
      <c r="J77" s="7">
        <f ca="1">[1]!b_calc_curve_chinabond("1102",J$1,$B77)</f>
        <v>1.9743999999999999</v>
      </c>
      <c r="K77" s="7">
        <f ca="1">[1]!b_calc_curve_chinabond("1102",K$1,$B77)</f>
        <v>1.9635</v>
      </c>
      <c r="L77" s="7">
        <f ca="1">[1]!b_calc_curve_chinabond("1102",L$1,$B77)</f>
        <v>0</v>
      </c>
      <c r="M77" s="7">
        <f ca="1">[1]!b_calc_curve_chinabond("1102",M$1,$B77)</f>
        <v>0</v>
      </c>
      <c r="N77" s="7">
        <f ca="1">[1]!b_calc_curve_chinabond("1102",N$1,$B77)</f>
        <v>1.9517</v>
      </c>
      <c r="O77" s="7">
        <f ca="1">[1]!b_calc_curve_chinabond("1102",O$1,$B77)</f>
        <v>1.9519</v>
      </c>
      <c r="P77" s="7">
        <f ca="1">[1]!b_calc_curve_chinabond("1102",P$1,$B77)</f>
        <v>1.9441999999999999</v>
      </c>
      <c r="Q77" s="7">
        <f ca="1">[1]!b_calc_curve_chinabond("1102",Q$1,$B77)</f>
        <v>1.9327000000000001</v>
      </c>
      <c r="R77" s="7">
        <f ca="1">[1]!b_calc_curve_chinabond("1102",R$1,$B77)</f>
        <v>1.9297</v>
      </c>
      <c r="S77" s="7">
        <f ca="1">[1]!b_calc_curve_chinabond("1102",S$1,$B77)</f>
        <v>0</v>
      </c>
      <c r="T77" s="7">
        <f ca="1">[1]!b_calc_curve_chinabond("1102",T$1,$B77)</f>
        <v>0</v>
      </c>
      <c r="U77" s="7">
        <f ca="1">[1]!b_calc_curve_chinabond("1102",U$1,$B77)</f>
        <v>1.9390000000000001</v>
      </c>
      <c r="V77" s="7">
        <f ca="1">[1]!b_calc_curve_chinabond("1102",V$1,$B77)</f>
        <v>1.9456</v>
      </c>
      <c r="W77" s="7">
        <f ca="1">[1]!b_calc_curve_chinabond("1102",W$1,$B77)</f>
        <v>1.9573</v>
      </c>
      <c r="X77" s="7">
        <f ca="1">[1]!b_calc_curve_chinabond("1102",X$1,$B77)</f>
        <v>1.9614</v>
      </c>
      <c r="Y77" s="7">
        <f ca="1">[1]!b_calc_curve_chinabond("1102",Y$1,$B77)</f>
        <v>1.9786999999999999</v>
      </c>
      <c r="Z77" s="7">
        <f ca="1">[1]!b_calc_curve_chinabond("1102",Z$1,$B77)</f>
        <v>0</v>
      </c>
      <c r="AA77" s="7">
        <f ca="1">[1]!b_calc_curve_chinabond("1102",AA$1,$B77)</f>
        <v>0</v>
      </c>
      <c r="AB77" s="7">
        <f ca="1">[1]!b_calc_curve_chinabond("1102",AB$1,$B77)</f>
        <v>1.9813000000000001</v>
      </c>
      <c r="AC77" s="7">
        <f ca="1">[1]!b_calc_curve_chinabond("1102",AC$1,$B77)</f>
        <v>1.9775</v>
      </c>
      <c r="AD77" s="7">
        <f ca="1">[1]!b_calc_curve_chinabond("1102",AD$1,$B77)</f>
        <v>1.9669000000000001</v>
      </c>
      <c r="AE77" s="7">
        <f ca="1">[1]!b_calc_curve_chinabond("1102",AE$1,$B77)</f>
        <v>1.9675</v>
      </c>
      <c r="AF77" s="7">
        <f ca="1">[1]!b_calc_curve_chinabond("1102",AF$1,$B77)</f>
        <v>0</v>
      </c>
      <c r="AG77" s="7">
        <f ca="1">[1]!b_calc_curve_chinabond("1102",AG$1,$B77)</f>
        <v>0</v>
      </c>
      <c r="AH77" s="7">
        <f ca="1">[1]!b_calc_curve_chinabond("1102",AH$1,$B77)</f>
        <v>0</v>
      </c>
      <c r="AI77" s="7">
        <f ca="1">[1]!b_calc_curve_chinabond("1102",AI$1,$B77)</f>
        <v>0</v>
      </c>
    </row>
    <row r="78" spans="1:35" ht="19.5" customHeight="1">
      <c r="A78" s="1" t="s">
        <v>78</v>
      </c>
      <c r="B78" s="2">
        <v>7</v>
      </c>
      <c r="C78" s="7">
        <f ca="1">[1]!b_calc_curve_chinabond("1102",C$1,$B78)</f>
        <v>2.0121000000000002</v>
      </c>
      <c r="D78" s="7">
        <f ca="1">[1]!b_calc_curve_chinabond("1102",D$1,$B78)</f>
        <v>2.0063</v>
      </c>
      <c r="E78" s="7">
        <f ca="1">[1]!b_calc_curve_chinabond("1102",E$1,$B78)</f>
        <v>0</v>
      </c>
      <c r="F78" s="7">
        <f ca="1">[1]!b_calc_curve_chinabond("1102",F$1,$B78)</f>
        <v>0</v>
      </c>
      <c r="G78" s="7">
        <f ca="1">[1]!b_calc_curve_chinabond("1102",G$1,$B78)</f>
        <v>2.0015999999999998</v>
      </c>
      <c r="H78" s="7">
        <f ca="1">[1]!b_calc_curve_chinabond("1102",H$1,$B78)</f>
        <v>1.9976</v>
      </c>
      <c r="I78" s="7">
        <f ca="1">[1]!b_calc_curve_chinabond("1102",I$1,$B78)</f>
        <v>1.9943</v>
      </c>
      <c r="J78" s="7">
        <f ca="1">[1]!b_calc_curve_chinabond("1102",J$1,$B78)</f>
        <v>1.9843</v>
      </c>
      <c r="K78" s="7">
        <f ca="1">[1]!b_calc_curve_chinabond("1102",K$1,$B78)</f>
        <v>1.9751000000000001</v>
      </c>
      <c r="L78" s="7">
        <f ca="1">[1]!b_calc_curve_chinabond("1102",L$1,$B78)</f>
        <v>0</v>
      </c>
      <c r="M78" s="7">
        <f ca="1">[1]!b_calc_curve_chinabond("1102",M$1,$B78)</f>
        <v>0</v>
      </c>
      <c r="N78" s="7">
        <f ca="1">[1]!b_calc_curve_chinabond("1102",N$1,$B78)</f>
        <v>1.9646999999999999</v>
      </c>
      <c r="O78" s="7">
        <f ca="1">[1]!b_calc_curve_chinabond("1102",O$1,$B78)</f>
        <v>1.9641</v>
      </c>
      <c r="P78" s="7">
        <f ca="1">[1]!b_calc_curve_chinabond("1102",P$1,$B78)</f>
        <v>1.956</v>
      </c>
      <c r="Q78" s="7">
        <f ca="1">[1]!b_calc_curve_chinabond("1102",Q$1,$B78)</f>
        <v>1.9453</v>
      </c>
      <c r="R78" s="7">
        <f ca="1">[1]!b_calc_curve_chinabond("1102",R$1,$B78)</f>
        <v>1.9433</v>
      </c>
      <c r="S78" s="7">
        <f ca="1">[1]!b_calc_curve_chinabond("1102",S$1,$B78)</f>
        <v>0</v>
      </c>
      <c r="T78" s="7">
        <f ca="1">[1]!b_calc_curve_chinabond("1102",T$1,$B78)</f>
        <v>0</v>
      </c>
      <c r="U78" s="7">
        <f ca="1">[1]!b_calc_curve_chinabond("1102",U$1,$B78)</f>
        <v>1.9524999999999999</v>
      </c>
      <c r="V78" s="7">
        <f ca="1">[1]!b_calc_curve_chinabond("1102",V$1,$B78)</f>
        <v>1.9584999999999999</v>
      </c>
      <c r="W78" s="7">
        <f ca="1">[1]!b_calc_curve_chinabond("1102",W$1,$B78)</f>
        <v>1.97</v>
      </c>
      <c r="X78" s="7">
        <f ca="1">[1]!b_calc_curve_chinabond("1102",X$1,$B78)</f>
        <v>1.9728000000000001</v>
      </c>
      <c r="Y78" s="7">
        <f ca="1">[1]!b_calc_curve_chinabond("1102",Y$1,$B78)</f>
        <v>1.9903</v>
      </c>
      <c r="Z78" s="7">
        <f ca="1">[1]!b_calc_curve_chinabond("1102",Z$1,$B78)</f>
        <v>0</v>
      </c>
      <c r="AA78" s="7">
        <f ca="1">[1]!b_calc_curve_chinabond("1102",AA$1,$B78)</f>
        <v>0</v>
      </c>
      <c r="AB78" s="7">
        <f ca="1">[1]!b_calc_curve_chinabond("1102",AB$1,$B78)</f>
        <v>1.9931000000000001</v>
      </c>
      <c r="AC78" s="7">
        <f ca="1">[1]!b_calc_curve_chinabond("1102",AC$1,$B78)</f>
        <v>1.9891000000000001</v>
      </c>
      <c r="AD78" s="7">
        <f ca="1">[1]!b_calc_curve_chinabond("1102",AD$1,$B78)</f>
        <v>1.9789000000000001</v>
      </c>
      <c r="AE78" s="7">
        <f ca="1">[1]!b_calc_curve_chinabond("1102",AE$1,$B78)</f>
        <v>1.9802999999999999</v>
      </c>
      <c r="AF78" s="7">
        <f ca="1">[1]!b_calc_curve_chinabond("1102",AF$1,$B78)</f>
        <v>0</v>
      </c>
      <c r="AG78" s="7">
        <f ca="1">[1]!b_calc_curve_chinabond("1102",AG$1,$B78)</f>
        <v>0</v>
      </c>
      <c r="AH78" s="7">
        <f ca="1">[1]!b_calc_curve_chinabond("1102",AH$1,$B78)</f>
        <v>0</v>
      </c>
      <c r="AI78" s="7">
        <f ca="1">[1]!b_calc_curve_chinabond("1102",AI$1,$B78)</f>
        <v>0</v>
      </c>
    </row>
    <row r="79" spans="1:35" ht="19.5" customHeight="1">
      <c r="A79" s="3" t="s">
        <v>79</v>
      </c>
      <c r="B79" s="4">
        <v>7.1</v>
      </c>
      <c r="C79" s="7">
        <f ca="1">[1]!b_calc_curve_chinabond("1102",C$1,$B79)</f>
        <v>2.0215000000000001</v>
      </c>
      <c r="D79" s="7">
        <f ca="1">[1]!b_calc_curve_chinabond("1102",D$1,$B79)</f>
        <v>2.0154999999999998</v>
      </c>
      <c r="E79" s="7">
        <f ca="1">[1]!b_calc_curve_chinabond("1102",E$1,$B79)</f>
        <v>0</v>
      </c>
      <c r="F79" s="7">
        <f ca="1">[1]!b_calc_curve_chinabond("1102",F$1,$B79)</f>
        <v>0</v>
      </c>
      <c r="G79" s="7">
        <f ca="1">[1]!b_calc_curve_chinabond("1102",G$1,$B79)</f>
        <v>2.0108000000000001</v>
      </c>
      <c r="H79" s="7">
        <f ca="1">[1]!b_calc_curve_chinabond("1102",H$1,$B79)</f>
        <v>2.0068000000000001</v>
      </c>
      <c r="I79" s="7">
        <f ca="1">[1]!b_calc_curve_chinabond("1102",I$1,$B79)</f>
        <v>2.0045000000000002</v>
      </c>
      <c r="J79" s="7">
        <f ca="1">[1]!b_calc_curve_chinabond("1102",J$1,$B79)</f>
        <v>1.9934000000000001</v>
      </c>
      <c r="K79" s="7">
        <f ca="1">[1]!b_calc_curve_chinabond("1102",K$1,$B79)</f>
        <v>1.9853000000000001</v>
      </c>
      <c r="L79" s="7">
        <f ca="1">[1]!b_calc_curve_chinabond("1102",L$1,$B79)</f>
        <v>0</v>
      </c>
      <c r="M79" s="7">
        <f ca="1">[1]!b_calc_curve_chinabond("1102",M$1,$B79)</f>
        <v>0</v>
      </c>
      <c r="N79" s="7">
        <f ca="1">[1]!b_calc_curve_chinabond("1102",N$1,$B79)</f>
        <v>1.9756</v>
      </c>
      <c r="O79" s="7">
        <f ca="1">[1]!b_calc_curve_chinabond("1102",O$1,$B79)</f>
        <v>1.9738</v>
      </c>
      <c r="P79" s="7">
        <f ca="1">[1]!b_calc_curve_chinabond("1102",P$1,$B79)</f>
        <v>1.9656</v>
      </c>
      <c r="Q79" s="7">
        <f ca="1">[1]!b_calc_curve_chinabond("1102",Q$1,$B79)</f>
        <v>1.9557</v>
      </c>
      <c r="R79" s="7">
        <f ca="1">[1]!b_calc_curve_chinabond("1102",R$1,$B79)</f>
        <v>1.9551000000000001</v>
      </c>
      <c r="S79" s="7">
        <f ca="1">[1]!b_calc_curve_chinabond("1102",S$1,$B79)</f>
        <v>0</v>
      </c>
      <c r="T79" s="7">
        <f ca="1">[1]!b_calc_curve_chinabond("1102",T$1,$B79)</f>
        <v>0</v>
      </c>
      <c r="U79" s="7">
        <f ca="1">[1]!b_calc_curve_chinabond("1102",U$1,$B79)</f>
        <v>1.9652000000000001</v>
      </c>
      <c r="V79" s="7">
        <f ca="1">[1]!b_calc_curve_chinabond("1102",V$1,$B79)</f>
        <v>1.9704999999999999</v>
      </c>
      <c r="W79" s="7">
        <f ca="1">[1]!b_calc_curve_chinabond("1102",W$1,$B79)</f>
        <v>1.9811000000000001</v>
      </c>
      <c r="X79" s="7">
        <f ca="1">[1]!b_calc_curve_chinabond("1102",X$1,$B79)</f>
        <v>1.9831000000000001</v>
      </c>
      <c r="Y79" s="7">
        <f ca="1">[1]!b_calc_curve_chinabond("1102",Y$1,$B79)</f>
        <v>2.0007999999999999</v>
      </c>
      <c r="Z79" s="7">
        <f ca="1">[1]!b_calc_curve_chinabond("1102",Z$1,$B79)</f>
        <v>0</v>
      </c>
      <c r="AA79" s="7">
        <f ca="1">[1]!b_calc_curve_chinabond("1102",AA$1,$B79)</f>
        <v>0</v>
      </c>
      <c r="AB79" s="7">
        <f ca="1">[1]!b_calc_curve_chinabond("1102",AB$1,$B79)</f>
        <v>2.0036</v>
      </c>
      <c r="AC79" s="7">
        <f ca="1">[1]!b_calc_curve_chinabond("1102",AC$1,$B79)</f>
        <v>1.9995000000000001</v>
      </c>
      <c r="AD79" s="7">
        <f ca="1">[1]!b_calc_curve_chinabond("1102",AD$1,$B79)</f>
        <v>1.9893000000000001</v>
      </c>
      <c r="AE79" s="7">
        <f ca="1">[1]!b_calc_curve_chinabond("1102",AE$1,$B79)</f>
        <v>1.9913000000000001</v>
      </c>
      <c r="AF79" s="7">
        <f ca="1">[1]!b_calc_curve_chinabond("1102",AF$1,$B79)</f>
        <v>0</v>
      </c>
      <c r="AG79" s="7">
        <f ca="1">[1]!b_calc_curve_chinabond("1102",AG$1,$B79)</f>
        <v>0</v>
      </c>
      <c r="AH79" s="7">
        <f ca="1">[1]!b_calc_curve_chinabond("1102",AH$1,$B79)</f>
        <v>0</v>
      </c>
      <c r="AI79" s="7">
        <f ca="1">[1]!b_calc_curve_chinabond("1102",AI$1,$B79)</f>
        <v>0</v>
      </c>
    </row>
    <row r="80" spans="1:35" ht="19.5" customHeight="1">
      <c r="A80" s="1" t="s">
        <v>80</v>
      </c>
      <c r="B80" s="2">
        <v>7.2</v>
      </c>
      <c r="C80" s="7">
        <f ca="1">[1]!b_calc_curve_chinabond("1102",C$1,$B80)</f>
        <v>2.0295999999999998</v>
      </c>
      <c r="D80" s="7">
        <f ca="1">[1]!b_calc_curve_chinabond("1102",D$1,$B80)</f>
        <v>2.0232000000000001</v>
      </c>
      <c r="E80" s="7">
        <f ca="1">[1]!b_calc_curve_chinabond("1102",E$1,$B80)</f>
        <v>0</v>
      </c>
      <c r="F80" s="7">
        <f ca="1">[1]!b_calc_curve_chinabond("1102",F$1,$B80)</f>
        <v>0</v>
      </c>
      <c r="G80" s="7">
        <f ca="1">[1]!b_calc_curve_chinabond("1102",G$1,$B80)</f>
        <v>2.0188000000000001</v>
      </c>
      <c r="H80" s="7">
        <f ca="1">[1]!b_calc_curve_chinabond("1102",H$1,$B80)</f>
        <v>2.0143</v>
      </c>
      <c r="I80" s="7">
        <f ca="1">[1]!b_calc_curve_chinabond("1102",I$1,$B80)</f>
        <v>2.0129000000000001</v>
      </c>
      <c r="J80" s="7">
        <f ca="1">[1]!b_calc_curve_chinabond("1102",J$1,$B80)</f>
        <v>2.0011999999999999</v>
      </c>
      <c r="K80" s="7">
        <f ca="1">[1]!b_calc_curve_chinabond("1102",K$1,$B80)</f>
        <v>1.9935</v>
      </c>
      <c r="L80" s="7">
        <f ca="1">[1]!b_calc_curve_chinabond("1102",L$1,$B80)</f>
        <v>0</v>
      </c>
      <c r="M80" s="7">
        <f ca="1">[1]!b_calc_curve_chinabond("1102",M$1,$B80)</f>
        <v>0</v>
      </c>
      <c r="N80" s="7">
        <f ca="1">[1]!b_calc_curve_chinabond("1102",N$1,$B80)</f>
        <v>1.9837</v>
      </c>
      <c r="O80" s="7">
        <f ca="1">[1]!b_calc_curve_chinabond("1102",O$1,$B80)</f>
        <v>1.9810000000000001</v>
      </c>
      <c r="P80" s="7">
        <f ca="1">[1]!b_calc_curve_chinabond("1102",P$1,$B80)</f>
        <v>1.9729000000000001</v>
      </c>
      <c r="Q80" s="7">
        <f ca="1">[1]!b_calc_curve_chinabond("1102",Q$1,$B80)</f>
        <v>1.964</v>
      </c>
      <c r="R80" s="7">
        <f ca="1">[1]!b_calc_curve_chinabond("1102",R$1,$B80)</f>
        <v>1.9642999999999999</v>
      </c>
      <c r="S80" s="7">
        <f ca="1">[1]!b_calc_curve_chinabond("1102",S$1,$B80)</f>
        <v>0</v>
      </c>
      <c r="T80" s="7">
        <f ca="1">[1]!b_calc_curve_chinabond("1102",T$1,$B80)</f>
        <v>0</v>
      </c>
      <c r="U80" s="7">
        <f ca="1">[1]!b_calc_curve_chinabond("1102",U$1,$B80)</f>
        <v>1.9758</v>
      </c>
      <c r="V80" s="7">
        <f ca="1">[1]!b_calc_curve_chinabond("1102",V$1,$B80)</f>
        <v>1.9805999999999999</v>
      </c>
      <c r="W80" s="7">
        <f ca="1">[1]!b_calc_curve_chinabond("1102",W$1,$B80)</f>
        <v>1.9906999999999999</v>
      </c>
      <c r="X80" s="7">
        <f ca="1">[1]!b_calc_curve_chinabond("1102",X$1,$B80)</f>
        <v>1.9927999999999999</v>
      </c>
      <c r="Y80" s="7">
        <f ca="1">[1]!b_calc_curve_chinabond("1102",Y$1,$B80)</f>
        <v>2.0102000000000002</v>
      </c>
      <c r="Z80" s="7">
        <f ca="1">[1]!b_calc_curve_chinabond("1102",Z$1,$B80)</f>
        <v>0</v>
      </c>
      <c r="AA80" s="7">
        <f ca="1">[1]!b_calc_curve_chinabond("1102",AA$1,$B80)</f>
        <v>0</v>
      </c>
      <c r="AB80" s="7">
        <f ca="1">[1]!b_calc_curve_chinabond("1102",AB$1,$B80)</f>
        <v>2.0127000000000002</v>
      </c>
      <c r="AC80" s="7">
        <f ca="1">[1]!b_calc_curve_chinabond("1102",AC$1,$B80)</f>
        <v>2.0084</v>
      </c>
      <c r="AD80" s="7">
        <f ca="1">[1]!b_calc_curve_chinabond("1102",AD$1,$B80)</f>
        <v>1.9981</v>
      </c>
      <c r="AE80" s="7">
        <f ca="1">[1]!b_calc_curve_chinabond("1102",AE$1,$B80)</f>
        <v>1.9999</v>
      </c>
      <c r="AF80" s="7">
        <f ca="1">[1]!b_calc_curve_chinabond("1102",AF$1,$B80)</f>
        <v>0</v>
      </c>
      <c r="AG80" s="7">
        <f ca="1">[1]!b_calc_curve_chinabond("1102",AG$1,$B80)</f>
        <v>0</v>
      </c>
      <c r="AH80" s="7">
        <f ca="1">[1]!b_calc_curve_chinabond("1102",AH$1,$B80)</f>
        <v>0</v>
      </c>
      <c r="AI80" s="7">
        <f ca="1">[1]!b_calc_curve_chinabond("1102",AI$1,$B80)</f>
        <v>0</v>
      </c>
    </row>
    <row r="81" spans="1:35" ht="19.5" customHeight="1">
      <c r="A81" s="3" t="s">
        <v>81</v>
      </c>
      <c r="B81" s="4">
        <v>7.3</v>
      </c>
      <c r="C81" s="7">
        <f ca="1">[1]!b_calc_curve_chinabond("1102",C$1,$B81)</f>
        <v>2.0365000000000002</v>
      </c>
      <c r="D81" s="7">
        <f ca="1">[1]!b_calc_curve_chinabond("1102",D$1,$B81)</f>
        <v>2.0297000000000001</v>
      </c>
      <c r="E81" s="7">
        <f ca="1">[1]!b_calc_curve_chinabond("1102",E$1,$B81)</f>
        <v>0</v>
      </c>
      <c r="F81" s="7">
        <f ca="1">[1]!b_calc_curve_chinabond("1102",F$1,$B81)</f>
        <v>0</v>
      </c>
      <c r="G81" s="7">
        <f ca="1">[1]!b_calc_curve_chinabond("1102",G$1,$B81)</f>
        <v>2.0257000000000001</v>
      </c>
      <c r="H81" s="7">
        <f ca="1">[1]!b_calc_curve_chinabond("1102",H$1,$B81)</f>
        <v>2.0206</v>
      </c>
      <c r="I81" s="7">
        <f ca="1">[1]!b_calc_curve_chinabond("1102",I$1,$B81)</f>
        <v>2.0198</v>
      </c>
      <c r="J81" s="7">
        <f ca="1">[1]!b_calc_curve_chinabond("1102",J$1,$B81)</f>
        <v>2.008</v>
      </c>
      <c r="K81" s="7">
        <f ca="1">[1]!b_calc_curve_chinabond("1102",K$1,$B81)</f>
        <v>2.0002</v>
      </c>
      <c r="L81" s="7">
        <f ca="1">[1]!b_calc_curve_chinabond("1102",L$1,$B81)</f>
        <v>0</v>
      </c>
      <c r="M81" s="7">
        <f ca="1">[1]!b_calc_curve_chinabond("1102",M$1,$B81)</f>
        <v>0</v>
      </c>
      <c r="N81" s="7">
        <f ca="1">[1]!b_calc_curve_chinabond("1102",N$1,$B81)</f>
        <v>1.9898</v>
      </c>
      <c r="O81" s="7">
        <f ca="1">[1]!b_calc_curve_chinabond("1102",O$1,$B81)</f>
        <v>1.9861</v>
      </c>
      <c r="P81" s="7">
        <f ca="1">[1]!b_calc_curve_chinabond("1102",P$1,$B81)</f>
        <v>1.9782999999999999</v>
      </c>
      <c r="Q81" s="7">
        <f ca="1">[1]!b_calc_curve_chinabond("1102",Q$1,$B81)</f>
        <v>1.9705999999999999</v>
      </c>
      <c r="R81" s="7">
        <f ca="1">[1]!b_calc_curve_chinabond("1102",R$1,$B81)</f>
        <v>1.9714</v>
      </c>
      <c r="S81" s="7">
        <f ca="1">[1]!b_calc_curve_chinabond("1102",S$1,$B81)</f>
        <v>0</v>
      </c>
      <c r="T81" s="7">
        <f ca="1">[1]!b_calc_curve_chinabond("1102",T$1,$B81)</f>
        <v>0</v>
      </c>
      <c r="U81" s="7">
        <f ca="1">[1]!b_calc_curve_chinabond("1102",U$1,$B81)</f>
        <v>1.9839</v>
      </c>
      <c r="V81" s="7">
        <f ca="1">[1]!b_calc_curve_chinabond("1102",V$1,$B81)</f>
        <v>1.9885999999999999</v>
      </c>
      <c r="W81" s="7">
        <f ca="1">[1]!b_calc_curve_chinabond("1102",W$1,$B81)</f>
        <v>1.9990000000000001</v>
      </c>
      <c r="X81" s="7">
        <f ca="1">[1]!b_calc_curve_chinabond("1102",X$1,$B81)</f>
        <v>2.0019999999999998</v>
      </c>
      <c r="Y81" s="7">
        <f ca="1">[1]!b_calc_curve_chinabond("1102",Y$1,$B81)</f>
        <v>2.0188000000000001</v>
      </c>
      <c r="Z81" s="7">
        <f ca="1">[1]!b_calc_curve_chinabond("1102",Z$1,$B81)</f>
        <v>0</v>
      </c>
      <c r="AA81" s="7">
        <f ca="1">[1]!b_calc_curve_chinabond("1102",AA$1,$B81)</f>
        <v>0</v>
      </c>
      <c r="AB81" s="7">
        <f ca="1">[1]!b_calc_curve_chinabond("1102",AB$1,$B81)</f>
        <v>2.0209000000000001</v>
      </c>
      <c r="AC81" s="7">
        <f ca="1">[1]!b_calc_curve_chinabond("1102",AC$1,$B81)</f>
        <v>2.0162</v>
      </c>
      <c r="AD81" s="7">
        <f ca="1">[1]!b_calc_curve_chinabond("1102",AD$1,$B81)</f>
        <v>2.0055000000000001</v>
      </c>
      <c r="AE81" s="7">
        <f ca="1">[1]!b_calc_curve_chinabond("1102",AE$1,$B81)</f>
        <v>2.0066999999999999</v>
      </c>
      <c r="AF81" s="7">
        <f ca="1">[1]!b_calc_curve_chinabond("1102",AF$1,$B81)</f>
        <v>0</v>
      </c>
      <c r="AG81" s="7">
        <f ca="1">[1]!b_calc_curve_chinabond("1102",AG$1,$B81)</f>
        <v>0</v>
      </c>
      <c r="AH81" s="7">
        <f ca="1">[1]!b_calc_curve_chinabond("1102",AH$1,$B81)</f>
        <v>0</v>
      </c>
      <c r="AI81" s="7">
        <f ca="1">[1]!b_calc_curve_chinabond("1102",AI$1,$B81)</f>
        <v>0</v>
      </c>
    </row>
    <row r="82" spans="1:35" ht="19.5" customHeight="1">
      <c r="A82" s="1" t="s">
        <v>82</v>
      </c>
      <c r="B82" s="2">
        <v>7.4</v>
      </c>
      <c r="C82" s="7">
        <f ca="1">[1]!b_calc_curve_chinabond("1102",C$1,$B82)</f>
        <v>2.0427</v>
      </c>
      <c r="D82" s="7">
        <f ca="1">[1]!b_calc_curve_chinabond("1102",D$1,$B82)</f>
        <v>2.0352000000000001</v>
      </c>
      <c r="E82" s="7">
        <f ca="1">[1]!b_calc_curve_chinabond("1102",E$1,$B82)</f>
        <v>0</v>
      </c>
      <c r="F82" s="7">
        <f ca="1">[1]!b_calc_curve_chinabond("1102",F$1,$B82)</f>
        <v>0</v>
      </c>
      <c r="G82" s="7">
        <f ca="1">[1]!b_calc_curve_chinabond("1102",G$1,$B82)</f>
        <v>2.0318999999999998</v>
      </c>
      <c r="H82" s="7">
        <f ca="1">[1]!b_calc_curve_chinabond("1102",H$1,$B82)</f>
        <v>2.0257999999999998</v>
      </c>
      <c r="I82" s="7">
        <f ca="1">[1]!b_calc_curve_chinabond("1102",I$1,$B82)</f>
        <v>2.0253999999999999</v>
      </c>
      <c r="J82" s="7">
        <f ca="1">[1]!b_calc_curve_chinabond("1102",J$1,$B82)</f>
        <v>2.0137999999999998</v>
      </c>
      <c r="K82" s="7">
        <f ca="1">[1]!b_calc_curve_chinabond("1102",K$1,$B82)</f>
        <v>2.0055999999999998</v>
      </c>
      <c r="L82" s="7">
        <f ca="1">[1]!b_calc_curve_chinabond("1102",L$1,$B82)</f>
        <v>0</v>
      </c>
      <c r="M82" s="7">
        <f ca="1">[1]!b_calc_curve_chinabond("1102",M$1,$B82)</f>
        <v>0</v>
      </c>
      <c r="N82" s="7">
        <f ca="1">[1]!b_calc_curve_chinabond("1102",N$1,$B82)</f>
        <v>1.9944</v>
      </c>
      <c r="O82" s="7">
        <f ca="1">[1]!b_calc_curve_chinabond("1102",O$1,$B82)</f>
        <v>1.9897</v>
      </c>
      <c r="P82" s="7">
        <f ca="1">[1]!b_calc_curve_chinabond("1102",P$1,$B82)</f>
        <v>1.982</v>
      </c>
      <c r="Q82" s="7">
        <f ca="1">[1]!b_calc_curve_chinabond("1102",Q$1,$B82)</f>
        <v>1.9757</v>
      </c>
      <c r="R82" s="7">
        <f ca="1">[1]!b_calc_curve_chinabond("1102",R$1,$B82)</f>
        <v>1.9767999999999999</v>
      </c>
      <c r="S82" s="7">
        <f ca="1">[1]!b_calc_curve_chinabond("1102",S$1,$B82)</f>
        <v>0</v>
      </c>
      <c r="T82" s="7">
        <f ca="1">[1]!b_calc_curve_chinabond("1102",T$1,$B82)</f>
        <v>0</v>
      </c>
      <c r="U82" s="7">
        <f ca="1">[1]!b_calc_curve_chinabond("1102",U$1,$B82)</f>
        <v>1.9899</v>
      </c>
      <c r="V82" s="7">
        <f ca="1">[1]!b_calc_curve_chinabond("1102",V$1,$B82)</f>
        <v>1.9948999999999999</v>
      </c>
      <c r="W82" s="7">
        <f ca="1">[1]!b_calc_curve_chinabond("1102",W$1,$B82)</f>
        <v>2.0063</v>
      </c>
      <c r="X82" s="7">
        <f ca="1">[1]!b_calc_curve_chinabond("1102",X$1,$B82)</f>
        <v>2.0106999999999999</v>
      </c>
      <c r="Y82" s="7">
        <f ca="1">[1]!b_calc_curve_chinabond("1102",Y$1,$B82)</f>
        <v>2.0268000000000002</v>
      </c>
      <c r="Z82" s="7">
        <f ca="1">[1]!b_calc_curve_chinabond("1102",Z$1,$B82)</f>
        <v>0</v>
      </c>
      <c r="AA82" s="7">
        <f ca="1">[1]!b_calc_curve_chinabond("1102",AA$1,$B82)</f>
        <v>0</v>
      </c>
      <c r="AB82" s="7">
        <f ca="1">[1]!b_calc_curve_chinabond("1102",AB$1,$B82)</f>
        <v>2.0282</v>
      </c>
      <c r="AC82" s="7">
        <f ca="1">[1]!b_calc_curve_chinabond("1102",AC$1,$B82)</f>
        <v>2.0230000000000001</v>
      </c>
      <c r="AD82" s="7">
        <f ca="1">[1]!b_calc_curve_chinabond("1102",AD$1,$B82)</f>
        <v>2.0118</v>
      </c>
      <c r="AE82" s="7">
        <f ca="1">[1]!b_calc_curve_chinabond("1102",AE$1,$B82)</f>
        <v>2.0118999999999998</v>
      </c>
      <c r="AF82" s="7">
        <f ca="1">[1]!b_calc_curve_chinabond("1102",AF$1,$B82)</f>
        <v>0</v>
      </c>
      <c r="AG82" s="7">
        <f ca="1">[1]!b_calc_curve_chinabond("1102",AG$1,$B82)</f>
        <v>0</v>
      </c>
      <c r="AH82" s="7">
        <f ca="1">[1]!b_calc_curve_chinabond("1102",AH$1,$B82)</f>
        <v>0</v>
      </c>
      <c r="AI82" s="7">
        <f ca="1">[1]!b_calc_curve_chinabond("1102",AI$1,$B82)</f>
        <v>0</v>
      </c>
    </row>
    <row r="83" spans="1:35" ht="19.5" customHeight="1">
      <c r="A83" s="3" t="s">
        <v>83</v>
      </c>
      <c r="B83" s="4">
        <v>7.5</v>
      </c>
      <c r="C83" s="7">
        <f ca="1">[1]!b_calc_curve_chinabond("1102",C$1,$B83)</f>
        <v>2.0482</v>
      </c>
      <c r="D83" s="7">
        <f ca="1">[1]!b_calc_curve_chinabond("1102",D$1,$B83)</f>
        <v>2.0400999999999998</v>
      </c>
      <c r="E83" s="7">
        <f ca="1">[1]!b_calc_curve_chinabond("1102",E$1,$B83)</f>
        <v>0</v>
      </c>
      <c r="F83" s="7">
        <f ca="1">[1]!b_calc_curve_chinabond("1102",F$1,$B83)</f>
        <v>0</v>
      </c>
      <c r="G83" s="7">
        <f ca="1">[1]!b_calc_curve_chinabond("1102",G$1,$B83)</f>
        <v>2.0375999999999999</v>
      </c>
      <c r="H83" s="7">
        <f ca="1">[1]!b_calc_curve_chinabond("1102",H$1,$B83)</f>
        <v>2.0301999999999998</v>
      </c>
      <c r="I83" s="7">
        <f ca="1">[1]!b_calc_curve_chinabond("1102",I$1,$B83)</f>
        <v>2.0299999999999998</v>
      </c>
      <c r="J83" s="7">
        <f ca="1">[1]!b_calc_curve_chinabond("1102",J$1,$B83)</f>
        <v>2.0190999999999999</v>
      </c>
      <c r="K83" s="7">
        <f ca="1">[1]!b_calc_curve_chinabond("1102",K$1,$B83)</f>
        <v>2.0101</v>
      </c>
      <c r="L83" s="7">
        <f ca="1">[1]!b_calc_curve_chinabond("1102",L$1,$B83)</f>
        <v>0</v>
      </c>
      <c r="M83" s="7">
        <f ca="1">[1]!b_calc_curve_chinabond("1102",M$1,$B83)</f>
        <v>0</v>
      </c>
      <c r="N83" s="7">
        <f ca="1">[1]!b_calc_curve_chinabond("1102",N$1,$B83)</f>
        <v>1.9983</v>
      </c>
      <c r="O83" s="7">
        <f ca="1">[1]!b_calc_curve_chinabond("1102",O$1,$B83)</f>
        <v>1.992</v>
      </c>
      <c r="P83" s="7">
        <f ca="1">[1]!b_calc_curve_chinabond("1102",P$1,$B83)</f>
        <v>1.9846999999999999</v>
      </c>
      <c r="Q83" s="7">
        <f ca="1">[1]!b_calc_curve_chinabond("1102",Q$1,$B83)</f>
        <v>1.9798</v>
      </c>
      <c r="R83" s="7">
        <f ca="1">[1]!b_calc_curve_chinabond("1102",R$1,$B83)</f>
        <v>1.9809000000000001</v>
      </c>
      <c r="S83" s="7">
        <f ca="1">[1]!b_calc_curve_chinabond("1102",S$1,$B83)</f>
        <v>0</v>
      </c>
      <c r="T83" s="7">
        <f ca="1">[1]!b_calc_curve_chinabond("1102",T$1,$B83)</f>
        <v>0</v>
      </c>
      <c r="U83" s="7">
        <f ca="1">[1]!b_calc_curve_chinabond("1102",U$1,$B83)</f>
        <v>1.9946999999999999</v>
      </c>
      <c r="V83" s="7">
        <f ca="1">[1]!b_calc_curve_chinabond("1102",V$1,$B83)</f>
        <v>2.0001000000000002</v>
      </c>
      <c r="W83" s="7">
        <f ca="1">[1]!b_calc_curve_chinabond("1102",W$1,$B83)</f>
        <v>2.0127999999999999</v>
      </c>
      <c r="X83" s="7">
        <f ca="1">[1]!b_calc_curve_chinabond("1102",X$1,$B83)</f>
        <v>2.0190999999999999</v>
      </c>
      <c r="Y83" s="7">
        <f ca="1">[1]!b_calc_curve_chinabond("1102",Y$1,$B83)</f>
        <v>2.0344000000000002</v>
      </c>
      <c r="Z83" s="7">
        <f ca="1">[1]!b_calc_curve_chinabond("1102",Z$1,$B83)</f>
        <v>0</v>
      </c>
      <c r="AA83" s="7">
        <f ca="1">[1]!b_calc_curve_chinabond("1102",AA$1,$B83)</f>
        <v>0</v>
      </c>
      <c r="AB83" s="7">
        <f ca="1">[1]!b_calc_curve_chinabond("1102",AB$1,$B83)</f>
        <v>2.0348999999999999</v>
      </c>
      <c r="AC83" s="7">
        <f ca="1">[1]!b_calc_curve_chinabond("1102",AC$1,$B83)</f>
        <v>2.0291999999999999</v>
      </c>
      <c r="AD83" s="7">
        <f ca="1">[1]!b_calc_curve_chinabond("1102",AD$1,$B83)</f>
        <v>2.0173000000000001</v>
      </c>
      <c r="AE83" s="7">
        <f ca="1">[1]!b_calc_curve_chinabond("1102",AE$1,$B83)</f>
        <v>2.016</v>
      </c>
      <c r="AF83" s="7">
        <f ca="1">[1]!b_calc_curve_chinabond("1102",AF$1,$B83)</f>
        <v>0</v>
      </c>
      <c r="AG83" s="7">
        <f ca="1">[1]!b_calc_curve_chinabond("1102",AG$1,$B83)</f>
        <v>0</v>
      </c>
      <c r="AH83" s="7">
        <f ca="1">[1]!b_calc_curve_chinabond("1102",AH$1,$B83)</f>
        <v>0</v>
      </c>
      <c r="AI83" s="7">
        <f ca="1">[1]!b_calc_curve_chinabond("1102",AI$1,$B83)</f>
        <v>0</v>
      </c>
    </row>
    <row r="84" spans="1:35" ht="19.5" customHeight="1">
      <c r="A84" s="1" t="s">
        <v>84</v>
      </c>
      <c r="B84" s="2">
        <v>7.6</v>
      </c>
      <c r="C84" s="7">
        <f ca="1">[1]!b_calc_curve_chinabond("1102",C$1,$B84)</f>
        <v>2.0533000000000001</v>
      </c>
      <c r="D84" s="7">
        <f ca="1">[1]!b_calc_curve_chinabond("1102",D$1,$B84)</f>
        <v>2.0447000000000002</v>
      </c>
      <c r="E84" s="7">
        <f ca="1">[1]!b_calc_curve_chinabond("1102",E$1,$B84)</f>
        <v>0</v>
      </c>
      <c r="F84" s="7">
        <f ca="1">[1]!b_calc_curve_chinabond("1102",F$1,$B84)</f>
        <v>0</v>
      </c>
      <c r="G84" s="7">
        <f ca="1">[1]!b_calc_curve_chinabond("1102",G$1,$B84)</f>
        <v>2.0428000000000002</v>
      </c>
      <c r="H84" s="7">
        <f ca="1">[1]!b_calc_curve_chinabond("1102",H$1,$B84)</f>
        <v>2.0341999999999998</v>
      </c>
      <c r="I84" s="7">
        <f ca="1">[1]!b_calc_curve_chinabond("1102",I$1,$B84)</f>
        <v>2.0341</v>
      </c>
      <c r="J84" s="7">
        <f ca="1">[1]!b_calc_curve_chinabond("1102",J$1,$B84)</f>
        <v>2.0238999999999998</v>
      </c>
      <c r="K84" s="7">
        <f ca="1">[1]!b_calc_curve_chinabond("1102",K$1,$B84)</f>
        <v>2.0141</v>
      </c>
      <c r="L84" s="7">
        <f ca="1">[1]!b_calc_curve_chinabond("1102",L$1,$B84)</f>
        <v>0</v>
      </c>
      <c r="M84" s="7">
        <f ca="1">[1]!b_calc_curve_chinabond("1102",M$1,$B84)</f>
        <v>0</v>
      </c>
      <c r="N84" s="7">
        <f ca="1">[1]!b_calc_curve_chinabond("1102",N$1,$B84)</f>
        <v>2.0022000000000002</v>
      </c>
      <c r="O84" s="7">
        <f ca="1">[1]!b_calc_curve_chinabond("1102",O$1,$B84)</f>
        <v>1.9937</v>
      </c>
      <c r="P84" s="7">
        <f ca="1">[1]!b_calc_curve_chinabond("1102",P$1,$B84)</f>
        <v>1.9864999999999999</v>
      </c>
      <c r="Q84" s="7">
        <f ca="1">[1]!b_calc_curve_chinabond("1102",Q$1,$B84)</f>
        <v>1.9832000000000001</v>
      </c>
      <c r="R84" s="7">
        <f ca="1">[1]!b_calc_curve_chinabond("1102",R$1,$B84)</f>
        <v>1.9842</v>
      </c>
      <c r="S84" s="7">
        <f ca="1">[1]!b_calc_curve_chinabond("1102",S$1,$B84)</f>
        <v>0</v>
      </c>
      <c r="T84" s="7">
        <f ca="1">[1]!b_calc_curve_chinabond("1102",T$1,$B84)</f>
        <v>0</v>
      </c>
      <c r="U84" s="7">
        <f ca="1">[1]!b_calc_curve_chinabond("1102",U$1,$B84)</f>
        <v>1.9987999999999999</v>
      </c>
      <c r="V84" s="7">
        <f ca="1">[1]!b_calc_curve_chinabond("1102",V$1,$B84)</f>
        <v>2.0045000000000002</v>
      </c>
      <c r="W84" s="7">
        <f ca="1">[1]!b_calc_curve_chinabond("1102",W$1,$B84)</f>
        <v>2.0188999999999999</v>
      </c>
      <c r="X84" s="7">
        <f ca="1">[1]!b_calc_curve_chinabond("1102",X$1,$B84)</f>
        <v>2.0272999999999999</v>
      </c>
      <c r="Y84" s="7">
        <f ca="1">[1]!b_calc_curve_chinabond("1102",Y$1,$B84)</f>
        <v>2.0415999999999999</v>
      </c>
      <c r="Z84" s="7">
        <f ca="1">[1]!b_calc_curve_chinabond("1102",Z$1,$B84)</f>
        <v>0</v>
      </c>
      <c r="AA84" s="7">
        <f ca="1">[1]!b_calc_curve_chinabond("1102",AA$1,$B84)</f>
        <v>0</v>
      </c>
      <c r="AB84" s="7">
        <f ca="1">[1]!b_calc_curve_chinabond("1102",AB$1,$B84)</f>
        <v>2.0413000000000001</v>
      </c>
      <c r="AC84" s="7">
        <f ca="1">[1]!b_calc_curve_chinabond("1102",AC$1,$B84)</f>
        <v>2.0348999999999999</v>
      </c>
      <c r="AD84" s="7">
        <f ca="1">[1]!b_calc_curve_chinabond("1102",AD$1,$B84)</f>
        <v>2.0224000000000002</v>
      </c>
      <c r="AE84" s="7">
        <f ca="1">[1]!b_calc_curve_chinabond("1102",AE$1,$B84)</f>
        <v>2.0194000000000001</v>
      </c>
      <c r="AF84" s="7">
        <f ca="1">[1]!b_calc_curve_chinabond("1102",AF$1,$B84)</f>
        <v>0</v>
      </c>
      <c r="AG84" s="7">
        <f ca="1">[1]!b_calc_curve_chinabond("1102",AG$1,$B84)</f>
        <v>0</v>
      </c>
      <c r="AH84" s="7">
        <f ca="1">[1]!b_calc_curve_chinabond("1102",AH$1,$B84)</f>
        <v>0</v>
      </c>
      <c r="AI84" s="7">
        <f ca="1">[1]!b_calc_curve_chinabond("1102",AI$1,$B84)</f>
        <v>0</v>
      </c>
    </row>
    <row r="85" spans="1:35" ht="19.5" customHeight="1">
      <c r="A85" s="3" t="s">
        <v>85</v>
      </c>
      <c r="B85" s="4">
        <v>7.7</v>
      </c>
      <c r="C85" s="7">
        <f ca="1">[1]!b_calc_curve_chinabond("1102",C$1,$B85)</f>
        <v>2.0583</v>
      </c>
      <c r="D85" s="7">
        <f ca="1">[1]!b_calc_curve_chinabond("1102",D$1,$B85)</f>
        <v>2.0491999999999999</v>
      </c>
      <c r="E85" s="7">
        <f ca="1">[1]!b_calc_curve_chinabond("1102",E$1,$B85)</f>
        <v>0</v>
      </c>
      <c r="F85" s="7">
        <f ca="1">[1]!b_calc_curve_chinabond("1102",F$1,$B85)</f>
        <v>0</v>
      </c>
      <c r="G85" s="7">
        <f ca="1">[1]!b_calc_curve_chinabond("1102",G$1,$B85)</f>
        <v>2.048</v>
      </c>
      <c r="H85" s="7">
        <f ca="1">[1]!b_calc_curve_chinabond("1102",H$1,$B85)</f>
        <v>2.0379999999999998</v>
      </c>
      <c r="I85" s="7">
        <f ca="1">[1]!b_calc_curve_chinabond("1102",I$1,$B85)</f>
        <v>2.0379999999999998</v>
      </c>
      <c r="J85" s="7">
        <f ca="1">[1]!b_calc_curve_chinabond("1102",J$1,$B85)</f>
        <v>2.0286</v>
      </c>
      <c r="K85" s="7">
        <f ca="1">[1]!b_calc_curve_chinabond("1102",K$1,$B85)</f>
        <v>2.0179</v>
      </c>
      <c r="L85" s="7">
        <f ca="1">[1]!b_calc_curve_chinabond("1102",L$1,$B85)</f>
        <v>0</v>
      </c>
      <c r="M85" s="7">
        <f ca="1">[1]!b_calc_curve_chinabond("1102",M$1,$B85)</f>
        <v>0</v>
      </c>
      <c r="N85" s="7">
        <f ca="1">[1]!b_calc_curve_chinabond("1102",N$1,$B85)</f>
        <v>2.0066000000000002</v>
      </c>
      <c r="O85" s="7">
        <f ca="1">[1]!b_calc_curve_chinabond("1102",O$1,$B85)</f>
        <v>1.9951000000000001</v>
      </c>
      <c r="P85" s="7">
        <f ca="1">[1]!b_calc_curve_chinabond("1102",P$1,$B85)</f>
        <v>1.988</v>
      </c>
      <c r="Q85" s="7">
        <f ca="1">[1]!b_calc_curve_chinabond("1102",Q$1,$B85)</f>
        <v>1.9863999999999999</v>
      </c>
      <c r="R85" s="7">
        <f ca="1">[1]!b_calc_curve_chinabond("1102",R$1,$B85)</f>
        <v>1.9870000000000001</v>
      </c>
      <c r="S85" s="7">
        <f ca="1">[1]!b_calc_curve_chinabond("1102",S$1,$B85)</f>
        <v>0</v>
      </c>
      <c r="T85" s="7">
        <f ca="1">[1]!b_calc_curve_chinabond("1102",T$1,$B85)</f>
        <v>0</v>
      </c>
      <c r="U85" s="7">
        <f ca="1">[1]!b_calc_curve_chinabond("1102",U$1,$B85)</f>
        <v>2.0030999999999999</v>
      </c>
      <c r="V85" s="7">
        <f ca="1">[1]!b_calc_curve_chinabond("1102",V$1,$B85)</f>
        <v>2.0085999999999999</v>
      </c>
      <c r="W85" s="7">
        <f ca="1">[1]!b_calc_curve_chinabond("1102",W$1,$B85)</f>
        <v>2.0247000000000002</v>
      </c>
      <c r="X85" s="7">
        <f ca="1">[1]!b_calc_curve_chinabond("1102",X$1,$B85)</f>
        <v>2.0354999999999999</v>
      </c>
      <c r="Y85" s="7">
        <f ca="1">[1]!b_calc_curve_chinabond("1102",Y$1,$B85)</f>
        <v>2.0487000000000002</v>
      </c>
      <c r="Z85" s="7">
        <f ca="1">[1]!b_calc_curve_chinabond("1102",Z$1,$B85)</f>
        <v>0</v>
      </c>
      <c r="AA85" s="7">
        <f ca="1">[1]!b_calc_curve_chinabond("1102",AA$1,$B85)</f>
        <v>0</v>
      </c>
      <c r="AB85" s="7">
        <f ca="1">[1]!b_calc_curve_chinabond("1102",AB$1,$B85)</f>
        <v>2.0474999999999999</v>
      </c>
      <c r="AC85" s="7">
        <f ca="1">[1]!b_calc_curve_chinabond("1102",AC$1,$B85)</f>
        <v>2.0405000000000002</v>
      </c>
      <c r="AD85" s="7">
        <f ca="1">[1]!b_calc_curve_chinabond("1102",AD$1,$B85)</f>
        <v>2.0272000000000001</v>
      </c>
      <c r="AE85" s="7">
        <f ca="1">[1]!b_calc_curve_chinabond("1102",AE$1,$B85)</f>
        <v>2.0226000000000002</v>
      </c>
      <c r="AF85" s="7">
        <f ca="1">[1]!b_calc_curve_chinabond("1102",AF$1,$B85)</f>
        <v>0</v>
      </c>
      <c r="AG85" s="7">
        <f ca="1">[1]!b_calc_curve_chinabond("1102",AG$1,$B85)</f>
        <v>0</v>
      </c>
      <c r="AH85" s="7">
        <f ca="1">[1]!b_calc_curve_chinabond("1102",AH$1,$B85)</f>
        <v>0</v>
      </c>
      <c r="AI85" s="7">
        <f ca="1">[1]!b_calc_curve_chinabond("1102",AI$1,$B85)</f>
        <v>0</v>
      </c>
    </row>
    <row r="86" spans="1:35" ht="19.5" customHeight="1">
      <c r="A86" s="1" t="s">
        <v>86</v>
      </c>
      <c r="B86" s="2">
        <v>7.8</v>
      </c>
      <c r="C86" s="7">
        <f ca="1">[1]!b_calc_curve_chinabond("1102",C$1,$B86)</f>
        <v>2.0634000000000001</v>
      </c>
      <c r="D86" s="7">
        <f ca="1">[1]!b_calc_curve_chinabond("1102",D$1,$B86)</f>
        <v>2.0539999999999998</v>
      </c>
      <c r="E86" s="7">
        <f ca="1">[1]!b_calc_curve_chinabond("1102",E$1,$B86)</f>
        <v>0</v>
      </c>
      <c r="F86" s="7">
        <f ca="1">[1]!b_calc_curve_chinabond("1102",F$1,$B86)</f>
        <v>0</v>
      </c>
      <c r="G86" s="7">
        <f ca="1">[1]!b_calc_curve_chinabond("1102",G$1,$B86)</f>
        <v>2.0531999999999999</v>
      </c>
      <c r="H86" s="7">
        <f ca="1">[1]!b_calc_curve_chinabond("1102",H$1,$B86)</f>
        <v>2.0417999999999998</v>
      </c>
      <c r="I86" s="7">
        <f ca="1">[1]!b_calc_curve_chinabond("1102",I$1,$B86)</f>
        <v>2.0419999999999998</v>
      </c>
      <c r="J86" s="7">
        <f ca="1">[1]!b_calc_curve_chinabond("1102",J$1,$B86)</f>
        <v>2.0333999999999999</v>
      </c>
      <c r="K86" s="7">
        <f ca="1">[1]!b_calc_curve_chinabond("1102",K$1,$B86)</f>
        <v>2.0219</v>
      </c>
      <c r="L86" s="7">
        <f ca="1">[1]!b_calc_curve_chinabond("1102",L$1,$B86)</f>
        <v>0</v>
      </c>
      <c r="M86" s="7">
        <f ca="1">[1]!b_calc_curve_chinabond("1102",M$1,$B86)</f>
        <v>0</v>
      </c>
      <c r="N86" s="7">
        <f ca="1">[1]!b_calc_curve_chinabond("1102",N$1,$B86)</f>
        <v>2.0123000000000002</v>
      </c>
      <c r="O86" s="7">
        <f ca="1">[1]!b_calc_curve_chinabond("1102",O$1,$B86)</f>
        <v>1.9967999999999999</v>
      </c>
      <c r="P86" s="7">
        <f ca="1">[1]!b_calc_curve_chinabond("1102",P$1,$B86)</f>
        <v>1.9895</v>
      </c>
      <c r="Q86" s="7">
        <f ca="1">[1]!b_calc_curve_chinabond("1102",Q$1,$B86)</f>
        <v>1.9895</v>
      </c>
      <c r="R86" s="7">
        <f ca="1">[1]!b_calc_curve_chinabond("1102",R$1,$B86)</f>
        <v>1.9898</v>
      </c>
      <c r="S86" s="7">
        <f ca="1">[1]!b_calc_curve_chinabond("1102",S$1,$B86)</f>
        <v>0</v>
      </c>
      <c r="T86" s="7">
        <f ca="1">[1]!b_calc_curve_chinabond("1102",T$1,$B86)</f>
        <v>0</v>
      </c>
      <c r="U86" s="7">
        <f ca="1">[1]!b_calc_curve_chinabond("1102",U$1,$B86)</f>
        <v>2.0081000000000002</v>
      </c>
      <c r="V86" s="7">
        <f ca="1">[1]!b_calc_curve_chinabond("1102",V$1,$B86)</f>
        <v>2.0129999999999999</v>
      </c>
      <c r="W86" s="7">
        <f ca="1">[1]!b_calc_curve_chinabond("1102",W$1,$B86)</f>
        <v>2.0306999999999999</v>
      </c>
      <c r="X86" s="7">
        <f ca="1">[1]!b_calc_curve_chinabond("1102",X$1,$B86)</f>
        <v>2.0436999999999999</v>
      </c>
      <c r="Y86" s="7">
        <f ca="1">[1]!b_calc_curve_chinabond("1102",Y$1,$B86)</f>
        <v>2.0558999999999998</v>
      </c>
      <c r="Z86" s="7">
        <f ca="1">[1]!b_calc_curve_chinabond("1102",Z$1,$B86)</f>
        <v>0</v>
      </c>
      <c r="AA86" s="7">
        <f ca="1">[1]!b_calc_curve_chinabond("1102",AA$1,$B86)</f>
        <v>0</v>
      </c>
      <c r="AB86" s="7">
        <f ca="1">[1]!b_calc_curve_chinabond("1102",AB$1,$B86)</f>
        <v>2.0537999999999998</v>
      </c>
      <c r="AC86" s="7">
        <f ca="1">[1]!b_calc_curve_chinabond("1102",AC$1,$B86)</f>
        <v>2.0461</v>
      </c>
      <c r="AD86" s="7">
        <f ca="1">[1]!b_calc_curve_chinabond("1102",AD$1,$B86)</f>
        <v>2.0320999999999998</v>
      </c>
      <c r="AE86" s="7">
        <f ca="1">[1]!b_calc_curve_chinabond("1102",AE$1,$B86)</f>
        <v>2.0259</v>
      </c>
      <c r="AF86" s="7">
        <f ca="1">[1]!b_calc_curve_chinabond("1102",AF$1,$B86)</f>
        <v>0</v>
      </c>
      <c r="AG86" s="7">
        <f ca="1">[1]!b_calc_curve_chinabond("1102",AG$1,$B86)</f>
        <v>0</v>
      </c>
      <c r="AH86" s="7">
        <f ca="1">[1]!b_calc_curve_chinabond("1102",AH$1,$B86)</f>
        <v>0</v>
      </c>
      <c r="AI86" s="7">
        <f ca="1">[1]!b_calc_curve_chinabond("1102",AI$1,$B86)</f>
        <v>0</v>
      </c>
    </row>
    <row r="87" spans="1:35" ht="19.5" customHeight="1">
      <c r="A87" s="3" t="s">
        <v>87</v>
      </c>
      <c r="B87" s="4">
        <v>7.9</v>
      </c>
      <c r="C87" s="7">
        <f ca="1">[1]!b_calc_curve_chinabond("1102",C$1,$B87)</f>
        <v>2.0687000000000002</v>
      </c>
      <c r="D87" s="7">
        <f ca="1">[1]!b_calc_curve_chinabond("1102",D$1,$B87)</f>
        <v>2.0594000000000001</v>
      </c>
      <c r="E87" s="7">
        <f ca="1">[1]!b_calc_curve_chinabond("1102",E$1,$B87)</f>
        <v>0</v>
      </c>
      <c r="F87" s="7">
        <f ca="1">[1]!b_calc_curve_chinabond("1102",F$1,$B87)</f>
        <v>0</v>
      </c>
      <c r="G87" s="7">
        <f ca="1">[1]!b_calc_curve_chinabond("1102",G$1,$B87)</f>
        <v>2.0588000000000002</v>
      </c>
      <c r="H87" s="7">
        <f ca="1">[1]!b_calc_curve_chinabond("1102",H$1,$B87)</f>
        <v>2.0461</v>
      </c>
      <c r="I87" s="7">
        <f ca="1">[1]!b_calc_curve_chinabond("1102",I$1,$B87)</f>
        <v>2.0464000000000002</v>
      </c>
      <c r="J87" s="7">
        <f ca="1">[1]!b_calc_curve_chinabond("1102",J$1,$B87)</f>
        <v>2.0385</v>
      </c>
      <c r="K87" s="7">
        <f ca="1">[1]!b_calc_curve_chinabond("1102",K$1,$B87)</f>
        <v>2.0266000000000002</v>
      </c>
      <c r="L87" s="7">
        <f ca="1">[1]!b_calc_curve_chinabond("1102",L$1,$B87)</f>
        <v>0</v>
      </c>
      <c r="M87" s="7">
        <f ca="1">[1]!b_calc_curve_chinabond("1102",M$1,$B87)</f>
        <v>0</v>
      </c>
      <c r="N87" s="7">
        <f ca="1">[1]!b_calc_curve_chinabond("1102",N$1,$B87)</f>
        <v>2.0188999999999999</v>
      </c>
      <c r="O87" s="7">
        <f ca="1">[1]!b_calc_curve_chinabond("1102",O$1,$B87)</f>
        <v>1.9991000000000001</v>
      </c>
      <c r="P87" s="7">
        <f ca="1">[1]!b_calc_curve_chinabond("1102",P$1,$B87)</f>
        <v>1.9914000000000001</v>
      </c>
      <c r="Q87" s="7">
        <f ca="1">[1]!b_calc_curve_chinabond("1102",Q$1,$B87)</f>
        <v>1.9932000000000001</v>
      </c>
      <c r="R87" s="7">
        <f ca="1">[1]!b_calc_curve_chinabond("1102",R$1,$B87)</f>
        <v>1.9930000000000001</v>
      </c>
      <c r="S87" s="7">
        <f ca="1">[1]!b_calc_curve_chinabond("1102",S$1,$B87)</f>
        <v>0</v>
      </c>
      <c r="T87" s="7">
        <f ca="1">[1]!b_calc_curve_chinabond("1102",T$1,$B87)</f>
        <v>0</v>
      </c>
      <c r="U87" s="7">
        <f ca="1">[1]!b_calc_curve_chinabond("1102",U$1,$B87)</f>
        <v>2.0141</v>
      </c>
      <c r="V87" s="7">
        <f ca="1">[1]!b_calc_curve_chinabond("1102",V$1,$B87)</f>
        <v>2.0179999999999998</v>
      </c>
      <c r="W87" s="7">
        <f ca="1">[1]!b_calc_curve_chinabond("1102",W$1,$B87)</f>
        <v>2.0369999999999999</v>
      </c>
      <c r="X87" s="7">
        <f ca="1">[1]!b_calc_curve_chinabond("1102",X$1,$B87)</f>
        <v>2.052</v>
      </c>
      <c r="Y87" s="7">
        <f ca="1">[1]!b_calc_curve_chinabond("1102",Y$1,$B87)</f>
        <v>2.0632999999999999</v>
      </c>
      <c r="Z87" s="7">
        <f ca="1">[1]!b_calc_curve_chinabond("1102",Z$1,$B87)</f>
        <v>0</v>
      </c>
      <c r="AA87" s="7">
        <f ca="1">[1]!b_calc_curve_chinabond("1102",AA$1,$B87)</f>
        <v>0</v>
      </c>
      <c r="AB87" s="7">
        <f ca="1">[1]!b_calc_curve_chinabond("1102",AB$1,$B87)</f>
        <v>2.0604</v>
      </c>
      <c r="AC87" s="7">
        <f ca="1">[1]!b_calc_curve_chinabond("1102",AC$1,$B87)</f>
        <v>2.0520999999999998</v>
      </c>
      <c r="AD87" s="7">
        <f ca="1">[1]!b_calc_curve_chinabond("1102",AD$1,$B87)</f>
        <v>2.0373999999999999</v>
      </c>
      <c r="AE87" s="7">
        <f ca="1">[1]!b_calc_curve_chinabond("1102",AE$1,$B87)</f>
        <v>2.0297000000000001</v>
      </c>
      <c r="AF87" s="7">
        <f ca="1">[1]!b_calc_curve_chinabond("1102",AF$1,$B87)</f>
        <v>0</v>
      </c>
      <c r="AG87" s="7">
        <f ca="1">[1]!b_calc_curve_chinabond("1102",AG$1,$B87)</f>
        <v>0</v>
      </c>
      <c r="AH87" s="7">
        <f ca="1">[1]!b_calc_curve_chinabond("1102",AH$1,$B87)</f>
        <v>0</v>
      </c>
      <c r="AI87" s="7">
        <f ca="1">[1]!b_calc_curve_chinabond("1102",AI$1,$B87)</f>
        <v>0</v>
      </c>
    </row>
    <row r="88" spans="1:35" ht="19.5" customHeight="1">
      <c r="A88" s="1" t="s">
        <v>88</v>
      </c>
      <c r="B88" s="2">
        <v>8</v>
      </c>
      <c r="C88" s="7">
        <f ca="1">[1]!b_calc_curve_chinabond("1102",C$1,$B88)</f>
        <v>2.0746000000000002</v>
      </c>
      <c r="D88" s="7">
        <f ca="1">[1]!b_calc_curve_chinabond("1102",D$1,$B88)</f>
        <v>2.0655000000000001</v>
      </c>
      <c r="E88" s="7">
        <f ca="1">[1]!b_calc_curve_chinabond("1102",E$1,$B88)</f>
        <v>0</v>
      </c>
      <c r="F88" s="7">
        <f ca="1">[1]!b_calc_curve_chinabond("1102",F$1,$B88)</f>
        <v>0</v>
      </c>
      <c r="G88" s="7">
        <f ca="1">[1]!b_calc_curve_chinabond("1102",G$1,$B88)</f>
        <v>2.0648</v>
      </c>
      <c r="H88" s="7">
        <f ca="1">[1]!b_calc_curve_chinabond("1102",H$1,$B88)</f>
        <v>2.0510000000000002</v>
      </c>
      <c r="I88" s="7">
        <f ca="1">[1]!b_calc_curve_chinabond("1102",I$1,$B88)</f>
        <v>2.0516999999999999</v>
      </c>
      <c r="J88" s="7">
        <f ca="1">[1]!b_calc_curve_chinabond("1102",J$1,$B88)</f>
        <v>2.0442</v>
      </c>
      <c r="K88" s="7">
        <f ca="1">[1]!b_calc_curve_chinabond("1102",K$1,$B88)</f>
        <v>2.0320999999999998</v>
      </c>
      <c r="L88" s="7">
        <f ca="1">[1]!b_calc_curve_chinabond("1102",L$1,$B88)</f>
        <v>0</v>
      </c>
      <c r="M88" s="7">
        <f ca="1">[1]!b_calc_curve_chinabond("1102",M$1,$B88)</f>
        <v>0</v>
      </c>
      <c r="N88" s="7">
        <f ca="1">[1]!b_calc_curve_chinabond("1102",N$1,$B88)</f>
        <v>2.0261</v>
      </c>
      <c r="O88" s="7">
        <f ca="1">[1]!b_calc_curve_chinabond("1102",O$1,$B88)</f>
        <v>2.0026000000000002</v>
      </c>
      <c r="P88" s="7">
        <f ca="1">[1]!b_calc_curve_chinabond("1102",P$1,$B88)</f>
        <v>1.9941</v>
      </c>
      <c r="Q88" s="7">
        <f ca="1">[1]!b_calc_curve_chinabond("1102",Q$1,$B88)</f>
        <v>1.9976</v>
      </c>
      <c r="R88" s="7">
        <f ca="1">[1]!b_calc_curve_chinabond("1102",R$1,$B88)</f>
        <v>1.9970000000000001</v>
      </c>
      <c r="S88" s="7">
        <f ca="1">[1]!b_calc_curve_chinabond("1102",S$1,$B88)</f>
        <v>0</v>
      </c>
      <c r="T88" s="7">
        <f ca="1">[1]!b_calc_curve_chinabond("1102",T$1,$B88)</f>
        <v>0</v>
      </c>
      <c r="U88" s="7">
        <f ca="1">[1]!b_calc_curve_chinabond("1102",U$1,$B88)</f>
        <v>2.0200999999999998</v>
      </c>
      <c r="V88" s="7">
        <f ca="1">[1]!b_calc_curve_chinabond("1102",V$1,$B88)</f>
        <v>2.024</v>
      </c>
      <c r="W88" s="7">
        <f ca="1">[1]!b_calc_curve_chinabond("1102",W$1,$B88)</f>
        <v>2.044</v>
      </c>
      <c r="X88" s="7">
        <f ca="1">[1]!b_calc_curve_chinabond("1102",X$1,$B88)</f>
        <v>2.0606</v>
      </c>
      <c r="Y88" s="7">
        <f ca="1">[1]!b_calc_curve_chinabond("1102",Y$1,$B88)</f>
        <v>2.0712000000000002</v>
      </c>
      <c r="Z88" s="7">
        <f ca="1">[1]!b_calc_curve_chinabond("1102",Z$1,$B88)</f>
        <v>0</v>
      </c>
      <c r="AA88" s="7">
        <f ca="1">[1]!b_calc_curve_chinabond("1102",AA$1,$B88)</f>
        <v>0</v>
      </c>
      <c r="AB88" s="7">
        <f ca="1">[1]!b_calc_curve_chinabond("1102",AB$1,$B88)</f>
        <v>2.0674999999999999</v>
      </c>
      <c r="AC88" s="7">
        <f ca="1">[1]!b_calc_curve_chinabond("1102",AC$1,$B88)</f>
        <v>2.0587</v>
      </c>
      <c r="AD88" s="7">
        <f ca="1">[1]!b_calc_curve_chinabond("1102",AD$1,$B88)</f>
        <v>2.0434999999999999</v>
      </c>
      <c r="AE88" s="7">
        <f ca="1">[1]!b_calc_curve_chinabond("1102",AE$1,$B88)</f>
        <v>2.0345</v>
      </c>
      <c r="AF88" s="7">
        <f ca="1">[1]!b_calc_curve_chinabond("1102",AF$1,$B88)</f>
        <v>0</v>
      </c>
      <c r="AG88" s="7">
        <f ca="1">[1]!b_calc_curve_chinabond("1102",AG$1,$B88)</f>
        <v>0</v>
      </c>
      <c r="AH88" s="7">
        <f ca="1">[1]!b_calc_curve_chinabond("1102",AH$1,$B88)</f>
        <v>0</v>
      </c>
      <c r="AI88" s="7">
        <f ca="1">[1]!b_calc_curve_chinabond("1102",AI$1,$B88)</f>
        <v>0</v>
      </c>
    </row>
    <row r="89" spans="1:35" ht="19.5" customHeight="1">
      <c r="A89" s="3" t="s">
        <v>89</v>
      </c>
      <c r="B89" s="4">
        <v>8.1</v>
      </c>
      <c r="C89" s="7">
        <f ca="1">[1]!b_calc_curve_chinabond("1102",C$1,$B89)</f>
        <v>2.0809000000000002</v>
      </c>
      <c r="D89" s="7">
        <f ca="1">[1]!b_calc_curve_chinabond("1102",D$1,$B89)</f>
        <v>2.0718999999999999</v>
      </c>
      <c r="E89" s="7">
        <f ca="1">[1]!b_calc_curve_chinabond("1102",E$1,$B89)</f>
        <v>0</v>
      </c>
      <c r="F89" s="7">
        <f ca="1">[1]!b_calc_curve_chinabond("1102",F$1,$B89)</f>
        <v>0</v>
      </c>
      <c r="G89" s="7">
        <f ca="1">[1]!b_calc_curve_chinabond("1102",G$1,$B89)</f>
        <v>2.0712999999999999</v>
      </c>
      <c r="H89" s="7">
        <f ca="1">[1]!b_calc_curve_chinabond("1102",H$1,$B89)</f>
        <v>2.0568</v>
      </c>
      <c r="I89" s="7">
        <f ca="1">[1]!b_calc_curve_chinabond("1102",I$1,$B89)</f>
        <v>2.0575999999999999</v>
      </c>
      <c r="J89" s="7">
        <f ca="1">[1]!b_calc_curve_chinabond("1102",J$1,$B89)</f>
        <v>2.0503</v>
      </c>
      <c r="K89" s="7">
        <f ca="1">[1]!b_calc_curve_chinabond("1102",K$1,$B89)</f>
        <v>2.0386000000000002</v>
      </c>
      <c r="L89" s="7">
        <f ca="1">[1]!b_calc_curve_chinabond("1102",L$1,$B89)</f>
        <v>0</v>
      </c>
      <c r="M89" s="7">
        <f ca="1">[1]!b_calc_curve_chinabond("1102",M$1,$B89)</f>
        <v>0</v>
      </c>
      <c r="N89" s="7">
        <f ca="1">[1]!b_calc_curve_chinabond("1102",N$1,$B89)</f>
        <v>2.0337000000000001</v>
      </c>
      <c r="O89" s="7">
        <f ca="1">[1]!b_calc_curve_chinabond("1102",O$1,$B89)</f>
        <v>2.0081000000000002</v>
      </c>
      <c r="P89" s="7">
        <f ca="1">[1]!b_calc_curve_chinabond("1102",P$1,$B89)</f>
        <v>1.9986999999999999</v>
      </c>
      <c r="Q89" s="7">
        <f ca="1">[1]!b_calc_curve_chinabond("1102",Q$1,$B89)</f>
        <v>2.0032000000000001</v>
      </c>
      <c r="R89" s="7">
        <f ca="1">[1]!b_calc_curve_chinabond("1102",R$1,$B89)</f>
        <v>2.0022000000000002</v>
      </c>
      <c r="S89" s="7">
        <f ca="1">[1]!b_calc_curve_chinabond("1102",S$1,$B89)</f>
        <v>0</v>
      </c>
      <c r="T89" s="7">
        <f ca="1">[1]!b_calc_curve_chinabond("1102",T$1,$B89)</f>
        <v>0</v>
      </c>
      <c r="U89" s="7">
        <f ca="1">[1]!b_calc_curve_chinabond("1102",U$1,$B89)</f>
        <v>2.0259999999999998</v>
      </c>
      <c r="V89" s="7">
        <f ca="1">[1]!b_calc_curve_chinabond("1102",V$1,$B89)</f>
        <v>2.0305</v>
      </c>
      <c r="W89" s="7">
        <f ca="1">[1]!b_calc_curve_chinabond("1102",W$1,$B89)</f>
        <v>2.052</v>
      </c>
      <c r="X89" s="7">
        <f ca="1">[1]!b_calc_curve_chinabond("1102",X$1,$B89)</f>
        <v>2.069</v>
      </c>
      <c r="Y89" s="7">
        <f ca="1">[1]!b_calc_curve_chinabond("1102",Y$1,$B89)</f>
        <v>2.0792000000000002</v>
      </c>
      <c r="Z89" s="7">
        <f ca="1">[1]!b_calc_curve_chinabond("1102",Z$1,$B89)</f>
        <v>0</v>
      </c>
      <c r="AA89" s="7">
        <f ca="1">[1]!b_calc_curve_chinabond("1102",AA$1,$B89)</f>
        <v>0</v>
      </c>
      <c r="AB89" s="7">
        <f ca="1">[1]!b_calc_curve_chinabond("1102",AB$1,$B89)</f>
        <v>2.0749</v>
      </c>
      <c r="AC89" s="7">
        <f ca="1">[1]!b_calc_curve_chinabond("1102",AC$1,$B89)</f>
        <v>2.0659999999999998</v>
      </c>
      <c r="AD89" s="7">
        <f ca="1">[1]!b_calc_curve_chinabond("1102",AD$1,$B89)</f>
        <v>2.0497000000000001</v>
      </c>
      <c r="AE89" s="7">
        <f ca="1">[1]!b_calc_curve_chinabond("1102",AE$1,$B89)</f>
        <v>2.0398999999999998</v>
      </c>
      <c r="AF89" s="7">
        <f ca="1">[1]!b_calc_curve_chinabond("1102",AF$1,$B89)</f>
        <v>0</v>
      </c>
      <c r="AG89" s="7">
        <f ca="1">[1]!b_calc_curve_chinabond("1102",AG$1,$B89)</f>
        <v>0</v>
      </c>
      <c r="AH89" s="7">
        <f ca="1">[1]!b_calc_curve_chinabond("1102",AH$1,$B89)</f>
        <v>0</v>
      </c>
      <c r="AI89" s="7">
        <f ca="1">[1]!b_calc_curve_chinabond("1102",AI$1,$B89)</f>
        <v>0</v>
      </c>
    </row>
    <row r="90" spans="1:35" ht="19.5" customHeight="1">
      <c r="A90" s="1" t="s">
        <v>90</v>
      </c>
      <c r="B90" s="2">
        <v>8.1999999999999993</v>
      </c>
      <c r="C90" s="7">
        <f ca="1">[1]!b_calc_curve_chinabond("1102",C$1,$B90)</f>
        <v>2.0871</v>
      </c>
      <c r="D90" s="7">
        <f ca="1">[1]!b_calc_curve_chinabond("1102",D$1,$B90)</f>
        <v>2.0785999999999998</v>
      </c>
      <c r="E90" s="7">
        <f ca="1">[1]!b_calc_curve_chinabond("1102",E$1,$B90)</f>
        <v>0</v>
      </c>
      <c r="F90" s="7">
        <f ca="1">[1]!b_calc_curve_chinabond("1102",F$1,$B90)</f>
        <v>0</v>
      </c>
      <c r="G90" s="7">
        <f ca="1">[1]!b_calc_curve_chinabond("1102",G$1,$B90)</f>
        <v>2.0777000000000001</v>
      </c>
      <c r="H90" s="7">
        <f ca="1">[1]!b_calc_curve_chinabond("1102",H$1,$B90)</f>
        <v>2.0634000000000001</v>
      </c>
      <c r="I90" s="7">
        <f ca="1">[1]!b_calc_curve_chinabond("1102",I$1,$B90)</f>
        <v>2.0640000000000001</v>
      </c>
      <c r="J90" s="7">
        <f ca="1">[1]!b_calc_curve_chinabond("1102",J$1,$B90)</f>
        <v>2.0566</v>
      </c>
      <c r="K90" s="7">
        <f ca="1">[1]!b_calc_curve_chinabond("1102",K$1,$B90)</f>
        <v>2.0457999999999998</v>
      </c>
      <c r="L90" s="7">
        <f ca="1">[1]!b_calc_curve_chinabond("1102",L$1,$B90)</f>
        <v>0</v>
      </c>
      <c r="M90" s="7">
        <f ca="1">[1]!b_calc_curve_chinabond("1102",M$1,$B90)</f>
        <v>0</v>
      </c>
      <c r="N90" s="7">
        <f ca="1">[1]!b_calc_curve_chinabond("1102",N$1,$B90)</f>
        <v>2.0415999999999999</v>
      </c>
      <c r="O90" s="7">
        <f ca="1">[1]!b_calc_curve_chinabond("1102",O$1,$B90)</f>
        <v>2.0150999999999999</v>
      </c>
      <c r="P90" s="7">
        <f ca="1">[1]!b_calc_curve_chinabond("1102",P$1,$B90)</f>
        <v>2.0055999999999998</v>
      </c>
      <c r="Q90" s="7">
        <f ca="1">[1]!b_calc_curve_chinabond("1102",Q$1,$B90)</f>
        <v>2.0105</v>
      </c>
      <c r="R90" s="7">
        <f ca="1">[1]!b_calc_curve_chinabond("1102",R$1,$B90)</f>
        <v>2.0081000000000002</v>
      </c>
      <c r="S90" s="7">
        <f ca="1">[1]!b_calc_curve_chinabond("1102",S$1,$B90)</f>
        <v>0</v>
      </c>
      <c r="T90" s="7">
        <f ca="1">[1]!b_calc_curve_chinabond("1102",T$1,$B90)</f>
        <v>0</v>
      </c>
      <c r="U90" s="7">
        <f ca="1">[1]!b_calc_curve_chinabond("1102",U$1,$B90)</f>
        <v>2.0318000000000001</v>
      </c>
      <c r="V90" s="7">
        <f ca="1">[1]!b_calc_curve_chinabond("1102",V$1,$B90)</f>
        <v>2.0373999999999999</v>
      </c>
      <c r="W90" s="7">
        <f ca="1">[1]!b_calc_curve_chinabond("1102",W$1,$B90)</f>
        <v>2.0609000000000002</v>
      </c>
      <c r="X90" s="7">
        <f ca="1">[1]!b_calc_curve_chinabond("1102",X$1,$B90)</f>
        <v>2.0769000000000002</v>
      </c>
      <c r="Y90" s="7">
        <f ca="1">[1]!b_calc_curve_chinabond("1102",Y$1,$B90)</f>
        <v>2.0871</v>
      </c>
      <c r="Z90" s="7">
        <f ca="1">[1]!b_calc_curve_chinabond("1102",Z$1,$B90)</f>
        <v>0</v>
      </c>
      <c r="AA90" s="7">
        <f ca="1">[1]!b_calc_curve_chinabond("1102",AA$1,$B90)</f>
        <v>0</v>
      </c>
      <c r="AB90" s="7">
        <f ca="1">[1]!b_calc_curve_chinabond("1102",AB$1,$B90)</f>
        <v>2.0821000000000001</v>
      </c>
      <c r="AC90" s="7">
        <f ca="1">[1]!b_calc_curve_chinabond("1102",AC$1,$B90)</f>
        <v>2.0737000000000001</v>
      </c>
      <c r="AD90" s="7">
        <f ca="1">[1]!b_calc_curve_chinabond("1102",AD$1,$B90)</f>
        <v>2.0556000000000001</v>
      </c>
      <c r="AE90" s="7">
        <f ca="1">[1]!b_calc_curve_chinabond("1102",AE$1,$B90)</f>
        <v>2.0451999999999999</v>
      </c>
      <c r="AF90" s="7">
        <f ca="1">[1]!b_calc_curve_chinabond("1102",AF$1,$B90)</f>
        <v>0</v>
      </c>
      <c r="AG90" s="7">
        <f ca="1">[1]!b_calc_curve_chinabond("1102",AG$1,$B90)</f>
        <v>0</v>
      </c>
      <c r="AH90" s="7">
        <f ca="1">[1]!b_calc_curve_chinabond("1102",AH$1,$B90)</f>
        <v>0</v>
      </c>
      <c r="AI90" s="7">
        <f ca="1">[1]!b_calc_curve_chinabond("1102",AI$1,$B90)</f>
        <v>0</v>
      </c>
    </row>
    <row r="91" spans="1:35" ht="19.5" customHeight="1">
      <c r="A91" s="3" t="s">
        <v>91</v>
      </c>
      <c r="B91" s="4">
        <v>8.3000000000000007</v>
      </c>
      <c r="C91" s="7">
        <f ca="1">[1]!b_calc_curve_chinabond("1102",C$1,$B91)</f>
        <v>2.0933999999999999</v>
      </c>
      <c r="D91" s="7">
        <f ca="1">[1]!b_calc_curve_chinabond("1102",D$1,$B91)</f>
        <v>2.0855999999999999</v>
      </c>
      <c r="E91" s="7">
        <f ca="1">[1]!b_calc_curve_chinabond("1102",E$1,$B91)</f>
        <v>0</v>
      </c>
      <c r="F91" s="7">
        <f ca="1">[1]!b_calc_curve_chinabond("1102",F$1,$B91)</f>
        <v>0</v>
      </c>
      <c r="G91" s="7">
        <f ca="1">[1]!b_calc_curve_chinabond("1102",G$1,$B91)</f>
        <v>2.0842999999999998</v>
      </c>
      <c r="H91" s="7">
        <f ca="1">[1]!b_calc_curve_chinabond("1102",H$1,$B91)</f>
        <v>2.0707</v>
      </c>
      <c r="I91" s="7">
        <f ca="1">[1]!b_calc_curve_chinabond("1102",I$1,$B91)</f>
        <v>2.0708000000000002</v>
      </c>
      <c r="J91" s="7">
        <f ca="1">[1]!b_calc_curve_chinabond("1102",J$1,$B91)</f>
        <v>2.0632000000000001</v>
      </c>
      <c r="K91" s="7">
        <f ca="1">[1]!b_calc_curve_chinabond("1102",K$1,$B91)</f>
        <v>2.0535000000000001</v>
      </c>
      <c r="L91" s="7">
        <f ca="1">[1]!b_calc_curve_chinabond("1102",L$1,$B91)</f>
        <v>0</v>
      </c>
      <c r="M91" s="7">
        <f ca="1">[1]!b_calc_curve_chinabond("1102",M$1,$B91)</f>
        <v>0</v>
      </c>
      <c r="N91" s="7">
        <f ca="1">[1]!b_calc_curve_chinabond("1102",N$1,$B91)</f>
        <v>2.0497000000000001</v>
      </c>
      <c r="O91" s="7">
        <f ca="1">[1]!b_calc_curve_chinabond("1102",O$1,$B91)</f>
        <v>2.0232999999999999</v>
      </c>
      <c r="P91" s="7">
        <f ca="1">[1]!b_calc_curve_chinabond("1102",P$1,$B91)</f>
        <v>2.0142000000000002</v>
      </c>
      <c r="Q91" s="7">
        <f ca="1">[1]!b_calc_curve_chinabond("1102",Q$1,$B91)</f>
        <v>2.0190000000000001</v>
      </c>
      <c r="R91" s="7">
        <f ca="1">[1]!b_calc_curve_chinabond("1102",R$1,$B91)</f>
        <v>2.0146000000000002</v>
      </c>
      <c r="S91" s="7">
        <f ca="1">[1]!b_calc_curve_chinabond("1102",S$1,$B91)</f>
        <v>0</v>
      </c>
      <c r="T91" s="7">
        <f ca="1">[1]!b_calc_curve_chinabond("1102",T$1,$B91)</f>
        <v>0</v>
      </c>
      <c r="U91" s="7">
        <f ca="1">[1]!b_calc_curve_chinabond("1102",U$1,$B91)</f>
        <v>2.0375000000000001</v>
      </c>
      <c r="V91" s="7">
        <f ca="1">[1]!b_calc_curve_chinabond("1102",V$1,$B91)</f>
        <v>2.0446</v>
      </c>
      <c r="W91" s="7">
        <f ca="1">[1]!b_calc_curve_chinabond("1102",W$1,$B91)</f>
        <v>2.0703999999999998</v>
      </c>
      <c r="X91" s="7">
        <f ca="1">[1]!b_calc_curve_chinabond("1102",X$1,$B91)</f>
        <v>2.0842000000000001</v>
      </c>
      <c r="Y91" s="7">
        <f ca="1">[1]!b_calc_curve_chinabond("1102",Y$1,$B91)</f>
        <v>2.0948000000000002</v>
      </c>
      <c r="Z91" s="7">
        <f ca="1">[1]!b_calc_curve_chinabond("1102",Z$1,$B91)</f>
        <v>0</v>
      </c>
      <c r="AA91" s="7">
        <f ca="1">[1]!b_calc_curve_chinabond("1102",AA$1,$B91)</f>
        <v>0</v>
      </c>
      <c r="AB91" s="7">
        <f ca="1">[1]!b_calc_curve_chinabond("1102",AB$1,$B91)</f>
        <v>2.0893000000000002</v>
      </c>
      <c r="AC91" s="7">
        <f ca="1">[1]!b_calc_curve_chinabond("1102",AC$1,$B91)</f>
        <v>2.0817000000000001</v>
      </c>
      <c r="AD91" s="7">
        <f ca="1">[1]!b_calc_curve_chinabond("1102",AD$1,$B91)</f>
        <v>2.0611000000000002</v>
      </c>
      <c r="AE91" s="7">
        <f ca="1">[1]!b_calc_curve_chinabond("1102",AE$1,$B91)</f>
        <v>2.0505</v>
      </c>
      <c r="AF91" s="7">
        <f ca="1">[1]!b_calc_curve_chinabond("1102",AF$1,$B91)</f>
        <v>0</v>
      </c>
      <c r="AG91" s="7">
        <f ca="1">[1]!b_calc_curve_chinabond("1102",AG$1,$B91)</f>
        <v>0</v>
      </c>
      <c r="AH91" s="7">
        <f ca="1">[1]!b_calc_curve_chinabond("1102",AH$1,$B91)</f>
        <v>0</v>
      </c>
      <c r="AI91" s="7">
        <f ca="1">[1]!b_calc_curve_chinabond("1102",AI$1,$B91)</f>
        <v>0</v>
      </c>
    </row>
    <row r="92" spans="1:35" ht="19.5" customHeight="1">
      <c r="A92" s="1" t="s">
        <v>92</v>
      </c>
      <c r="B92" s="2">
        <v>8.4</v>
      </c>
      <c r="C92" s="7">
        <f ca="1">[1]!b_calc_curve_chinabond("1102",C$1,$B92)</f>
        <v>2.0996000000000001</v>
      </c>
      <c r="D92" s="7">
        <f ca="1">[1]!b_calc_curve_chinabond("1102",D$1,$B92)</f>
        <v>2.0928</v>
      </c>
      <c r="E92" s="7">
        <f ca="1">[1]!b_calc_curve_chinabond("1102",E$1,$B92)</f>
        <v>0</v>
      </c>
      <c r="F92" s="7">
        <f ca="1">[1]!b_calc_curve_chinabond("1102",F$1,$B92)</f>
        <v>0</v>
      </c>
      <c r="G92" s="7">
        <f ca="1">[1]!b_calc_curve_chinabond("1102",G$1,$B92)</f>
        <v>2.0908000000000002</v>
      </c>
      <c r="H92" s="7">
        <f ca="1">[1]!b_calc_curve_chinabond("1102",H$1,$B92)</f>
        <v>2.0785</v>
      </c>
      <c r="I92" s="7">
        <f ca="1">[1]!b_calc_curve_chinabond("1102",I$1,$B92)</f>
        <v>2.0779999999999998</v>
      </c>
      <c r="J92" s="7">
        <f ca="1">[1]!b_calc_curve_chinabond("1102",J$1,$B92)</f>
        <v>2.0699000000000001</v>
      </c>
      <c r="K92" s="7">
        <f ca="1">[1]!b_calc_curve_chinabond("1102",K$1,$B92)</f>
        <v>2.0615999999999999</v>
      </c>
      <c r="L92" s="7">
        <f ca="1">[1]!b_calc_curve_chinabond("1102",L$1,$B92)</f>
        <v>0</v>
      </c>
      <c r="M92" s="7">
        <f ca="1">[1]!b_calc_curve_chinabond("1102",M$1,$B92)</f>
        <v>0</v>
      </c>
      <c r="N92" s="7">
        <f ca="1">[1]!b_calc_curve_chinabond("1102",N$1,$B92)</f>
        <v>2.0577999999999999</v>
      </c>
      <c r="O92" s="7">
        <f ca="1">[1]!b_calc_curve_chinabond("1102",O$1,$B92)</f>
        <v>2.0322</v>
      </c>
      <c r="P92" s="7">
        <f ca="1">[1]!b_calc_curve_chinabond("1102",P$1,$B92)</f>
        <v>2.0240999999999998</v>
      </c>
      <c r="Q92" s="7">
        <f ca="1">[1]!b_calc_curve_chinabond("1102",Q$1,$B92)</f>
        <v>2.0284</v>
      </c>
      <c r="R92" s="7">
        <f ca="1">[1]!b_calc_curve_chinabond("1102",R$1,$B92)</f>
        <v>2.0215000000000001</v>
      </c>
      <c r="S92" s="7">
        <f ca="1">[1]!b_calc_curve_chinabond("1102",S$1,$B92)</f>
        <v>0</v>
      </c>
      <c r="T92" s="7">
        <f ca="1">[1]!b_calc_curve_chinabond("1102",T$1,$B92)</f>
        <v>0</v>
      </c>
      <c r="U92" s="7">
        <f ca="1">[1]!b_calc_curve_chinabond("1102",U$1,$B92)</f>
        <v>2.0432000000000001</v>
      </c>
      <c r="V92" s="7">
        <f ca="1">[1]!b_calc_curve_chinabond("1102",V$1,$B92)</f>
        <v>2.052</v>
      </c>
      <c r="W92" s="7">
        <f ca="1">[1]!b_calc_curve_chinabond("1102",W$1,$B92)</f>
        <v>2.0800999999999998</v>
      </c>
      <c r="X92" s="7">
        <f ca="1">[1]!b_calc_curve_chinabond("1102",X$1,$B92)</f>
        <v>2.0910000000000002</v>
      </c>
      <c r="Y92" s="7">
        <f ca="1">[1]!b_calc_curve_chinabond("1102",Y$1,$B92)</f>
        <v>2.1021999999999998</v>
      </c>
      <c r="Z92" s="7">
        <f ca="1">[1]!b_calc_curve_chinabond("1102",Z$1,$B92)</f>
        <v>0</v>
      </c>
      <c r="AA92" s="7">
        <f ca="1">[1]!b_calc_curve_chinabond("1102",AA$1,$B92)</f>
        <v>0</v>
      </c>
      <c r="AB92" s="7">
        <f ca="1">[1]!b_calc_curve_chinabond("1102",AB$1,$B92)</f>
        <v>2.0962999999999998</v>
      </c>
      <c r="AC92" s="7">
        <f ca="1">[1]!b_calc_curve_chinabond("1102",AC$1,$B92)</f>
        <v>2.0897999999999999</v>
      </c>
      <c r="AD92" s="7">
        <f ca="1">[1]!b_calc_curve_chinabond("1102",AD$1,$B92)</f>
        <v>2.0663999999999998</v>
      </c>
      <c r="AE92" s="7">
        <f ca="1">[1]!b_calc_curve_chinabond("1102",AE$1,$B92)</f>
        <v>2.0556999999999999</v>
      </c>
      <c r="AF92" s="7">
        <f ca="1">[1]!b_calc_curve_chinabond("1102",AF$1,$B92)</f>
        <v>0</v>
      </c>
      <c r="AG92" s="7">
        <f ca="1">[1]!b_calc_curve_chinabond("1102",AG$1,$B92)</f>
        <v>0</v>
      </c>
      <c r="AH92" s="7">
        <f ca="1">[1]!b_calc_curve_chinabond("1102",AH$1,$B92)</f>
        <v>0</v>
      </c>
      <c r="AI92" s="7">
        <f ca="1">[1]!b_calc_curve_chinabond("1102",AI$1,$B92)</f>
        <v>0</v>
      </c>
    </row>
    <row r="93" spans="1:35" ht="19.5" customHeight="1">
      <c r="A93" s="3" t="s">
        <v>93</v>
      </c>
      <c r="B93" s="4">
        <v>8.5</v>
      </c>
      <c r="C93" s="7">
        <f ca="1">[1]!b_calc_curve_chinabond("1102",C$1,$B93)</f>
        <v>2.1059000000000001</v>
      </c>
      <c r="D93" s="7">
        <f ca="1">[1]!b_calc_curve_chinabond("1102",D$1,$B93)</f>
        <v>2.1000999999999999</v>
      </c>
      <c r="E93" s="7">
        <f ca="1">[1]!b_calc_curve_chinabond("1102",E$1,$B93)</f>
        <v>0</v>
      </c>
      <c r="F93" s="7">
        <f ca="1">[1]!b_calc_curve_chinabond("1102",F$1,$B93)</f>
        <v>0</v>
      </c>
      <c r="G93" s="7">
        <f ca="1">[1]!b_calc_curve_chinabond("1102",G$1,$B93)</f>
        <v>2.0975000000000001</v>
      </c>
      <c r="H93" s="7">
        <f ca="1">[1]!b_calc_curve_chinabond("1102",H$1,$B93)</f>
        <v>2.0867</v>
      </c>
      <c r="I93" s="7">
        <f ca="1">[1]!b_calc_curve_chinabond("1102",I$1,$B93)</f>
        <v>2.0853999999999999</v>
      </c>
      <c r="J93" s="7">
        <f ca="1">[1]!b_calc_curve_chinabond("1102",J$1,$B93)</f>
        <v>2.0767000000000002</v>
      </c>
      <c r="K93" s="7">
        <f ca="1">[1]!b_calc_curve_chinabond("1102",K$1,$B93)</f>
        <v>2.0697999999999999</v>
      </c>
      <c r="L93" s="7">
        <f ca="1">[1]!b_calc_curve_chinabond("1102",L$1,$B93)</f>
        <v>0</v>
      </c>
      <c r="M93" s="7">
        <f ca="1">[1]!b_calc_curve_chinabond("1102",M$1,$B93)</f>
        <v>0</v>
      </c>
      <c r="N93" s="7">
        <f ca="1">[1]!b_calc_curve_chinabond("1102",N$1,$B93)</f>
        <v>2.0657999999999999</v>
      </c>
      <c r="O93" s="7">
        <f ca="1">[1]!b_calc_curve_chinabond("1102",O$1,$B93)</f>
        <v>2.0417000000000001</v>
      </c>
      <c r="P93" s="7">
        <f ca="1">[1]!b_calc_curve_chinabond("1102",P$1,$B93)</f>
        <v>2.0348000000000002</v>
      </c>
      <c r="Q93" s="7">
        <f ca="1">[1]!b_calc_curve_chinabond("1102",Q$1,$B93)</f>
        <v>2.0381</v>
      </c>
      <c r="R93" s="7">
        <f ca="1">[1]!b_calc_curve_chinabond("1102",R$1,$B93)</f>
        <v>2.0287000000000002</v>
      </c>
      <c r="S93" s="7">
        <f ca="1">[1]!b_calc_curve_chinabond("1102",S$1,$B93)</f>
        <v>0</v>
      </c>
      <c r="T93" s="7">
        <f ca="1">[1]!b_calc_curve_chinabond("1102",T$1,$B93)</f>
        <v>0</v>
      </c>
      <c r="U93" s="7">
        <f ca="1">[1]!b_calc_curve_chinabond("1102",U$1,$B93)</f>
        <v>2.0489000000000002</v>
      </c>
      <c r="V93" s="7">
        <f ca="1">[1]!b_calc_curve_chinabond("1102",V$1,$B93)</f>
        <v>2.0594999999999999</v>
      </c>
      <c r="W93" s="7">
        <f ca="1">[1]!b_calc_curve_chinabond("1102",W$1,$B93)</f>
        <v>2.0897000000000001</v>
      </c>
      <c r="X93" s="7">
        <f ca="1">[1]!b_calc_curve_chinabond("1102",X$1,$B93)</f>
        <v>2.0975999999999999</v>
      </c>
      <c r="Y93" s="7">
        <f ca="1">[1]!b_calc_curve_chinabond("1102",Y$1,$B93)</f>
        <v>2.1093999999999999</v>
      </c>
      <c r="Z93" s="7">
        <f ca="1">[1]!b_calc_curve_chinabond("1102",Z$1,$B93)</f>
        <v>0</v>
      </c>
      <c r="AA93" s="7">
        <f ca="1">[1]!b_calc_curve_chinabond("1102",AA$1,$B93)</f>
        <v>0</v>
      </c>
      <c r="AB93" s="7">
        <f ca="1">[1]!b_calc_curve_chinabond("1102",AB$1,$B93)</f>
        <v>2.1031</v>
      </c>
      <c r="AC93" s="7">
        <f ca="1">[1]!b_calc_curve_chinabond("1102",AC$1,$B93)</f>
        <v>2.0977000000000001</v>
      </c>
      <c r="AD93" s="7">
        <f ca="1">[1]!b_calc_curve_chinabond("1102",AD$1,$B93)</f>
        <v>2.0716000000000001</v>
      </c>
      <c r="AE93" s="7">
        <f ca="1">[1]!b_calc_curve_chinabond("1102",AE$1,$B93)</f>
        <v>2.0609000000000002</v>
      </c>
      <c r="AF93" s="7">
        <f ca="1">[1]!b_calc_curve_chinabond("1102",AF$1,$B93)</f>
        <v>0</v>
      </c>
      <c r="AG93" s="7">
        <f ca="1">[1]!b_calc_curve_chinabond("1102",AG$1,$B93)</f>
        <v>0</v>
      </c>
      <c r="AH93" s="7">
        <f ca="1">[1]!b_calc_curve_chinabond("1102",AH$1,$B93)</f>
        <v>0</v>
      </c>
      <c r="AI93" s="7">
        <f ca="1">[1]!b_calc_curve_chinabond("1102",AI$1,$B93)</f>
        <v>0</v>
      </c>
    </row>
    <row r="94" spans="1:35" ht="19.5" customHeight="1">
      <c r="A94" s="1" t="s">
        <v>94</v>
      </c>
      <c r="B94" s="2">
        <v>8.6</v>
      </c>
      <c r="C94" s="7">
        <f ca="1">[1]!b_calc_curve_chinabond("1102",C$1,$B94)</f>
        <v>2.1120999999999999</v>
      </c>
      <c r="D94" s="7">
        <f ca="1">[1]!b_calc_curve_chinabond("1102",D$1,$B94)</f>
        <v>2.1074000000000002</v>
      </c>
      <c r="E94" s="7">
        <f ca="1">[1]!b_calc_curve_chinabond("1102",E$1,$B94)</f>
        <v>0</v>
      </c>
      <c r="F94" s="7">
        <f ca="1">[1]!b_calc_curve_chinabond("1102",F$1,$B94)</f>
        <v>0</v>
      </c>
      <c r="G94" s="7">
        <f ca="1">[1]!b_calc_curve_chinabond("1102",G$1,$B94)</f>
        <v>2.1040999999999999</v>
      </c>
      <c r="H94" s="7">
        <f ca="1">[1]!b_calc_curve_chinabond("1102",H$1,$B94)</f>
        <v>2.0951</v>
      </c>
      <c r="I94" s="7">
        <f ca="1">[1]!b_calc_curve_chinabond("1102",I$1,$B94)</f>
        <v>2.0929000000000002</v>
      </c>
      <c r="J94" s="7">
        <f ca="1">[1]!b_calc_curve_chinabond("1102",J$1,$B94)</f>
        <v>2.0836000000000001</v>
      </c>
      <c r="K94" s="7">
        <f ca="1">[1]!b_calc_curve_chinabond("1102",K$1,$B94)</f>
        <v>2.0777999999999999</v>
      </c>
      <c r="L94" s="7">
        <f ca="1">[1]!b_calc_curve_chinabond("1102",L$1,$B94)</f>
        <v>0</v>
      </c>
      <c r="M94" s="7">
        <f ca="1">[1]!b_calc_curve_chinabond("1102",M$1,$B94)</f>
        <v>0</v>
      </c>
      <c r="N94" s="7">
        <f ca="1">[1]!b_calc_curve_chinabond("1102",N$1,$B94)</f>
        <v>2.0735000000000001</v>
      </c>
      <c r="O94" s="7">
        <f ca="1">[1]!b_calc_curve_chinabond("1102",O$1,$B94)</f>
        <v>2.0512000000000001</v>
      </c>
      <c r="P94" s="7">
        <f ca="1">[1]!b_calc_curve_chinabond("1102",P$1,$B94)</f>
        <v>2.0457000000000001</v>
      </c>
      <c r="Q94" s="7">
        <f ca="1">[1]!b_calc_curve_chinabond("1102",Q$1,$B94)</f>
        <v>2.0478000000000001</v>
      </c>
      <c r="R94" s="7">
        <f ca="1">[1]!b_calc_curve_chinabond("1102",R$1,$B94)</f>
        <v>2.0360999999999998</v>
      </c>
      <c r="S94" s="7">
        <f ca="1">[1]!b_calc_curve_chinabond("1102",S$1,$B94)</f>
        <v>0</v>
      </c>
      <c r="T94" s="7">
        <f ca="1">[1]!b_calc_curve_chinabond("1102",T$1,$B94)</f>
        <v>0</v>
      </c>
      <c r="U94" s="7">
        <f ca="1">[1]!b_calc_curve_chinabond("1102",U$1,$B94)</f>
        <v>2.0545</v>
      </c>
      <c r="V94" s="7">
        <f ca="1">[1]!b_calc_curve_chinabond("1102",V$1,$B94)</f>
        <v>2.0670999999999999</v>
      </c>
      <c r="W94" s="7">
        <f ca="1">[1]!b_calc_curve_chinabond("1102",W$1,$B94)</f>
        <v>2.0987</v>
      </c>
      <c r="X94" s="7">
        <f ca="1">[1]!b_calc_curve_chinabond("1102",X$1,$B94)</f>
        <v>2.1040999999999999</v>
      </c>
      <c r="Y94" s="7">
        <f ca="1">[1]!b_calc_curve_chinabond("1102",Y$1,$B94)</f>
        <v>2.1162999999999998</v>
      </c>
      <c r="Z94" s="7">
        <f ca="1">[1]!b_calc_curve_chinabond("1102",Z$1,$B94)</f>
        <v>0</v>
      </c>
      <c r="AA94" s="7">
        <f ca="1">[1]!b_calc_curve_chinabond("1102",AA$1,$B94)</f>
        <v>0</v>
      </c>
      <c r="AB94" s="7">
        <f ca="1">[1]!b_calc_curve_chinabond("1102",AB$1,$B94)</f>
        <v>2.1097999999999999</v>
      </c>
      <c r="AC94" s="7">
        <f ca="1">[1]!b_calc_curve_chinabond("1102",AC$1,$B94)</f>
        <v>2.1052</v>
      </c>
      <c r="AD94" s="7">
        <f ca="1">[1]!b_calc_curve_chinabond("1102",AD$1,$B94)</f>
        <v>2.0766</v>
      </c>
      <c r="AE94" s="7">
        <f ca="1">[1]!b_calc_curve_chinabond("1102",AE$1,$B94)</f>
        <v>2.0661</v>
      </c>
      <c r="AF94" s="7">
        <f ca="1">[1]!b_calc_curve_chinabond("1102",AF$1,$B94)</f>
        <v>0</v>
      </c>
      <c r="AG94" s="7">
        <f ca="1">[1]!b_calc_curve_chinabond("1102",AG$1,$B94)</f>
        <v>0</v>
      </c>
      <c r="AH94" s="7">
        <f ca="1">[1]!b_calc_curve_chinabond("1102",AH$1,$B94)</f>
        <v>0</v>
      </c>
      <c r="AI94" s="7">
        <f ca="1">[1]!b_calc_curve_chinabond("1102",AI$1,$B94)</f>
        <v>0</v>
      </c>
    </row>
    <row r="95" spans="1:35" ht="19.5" customHeight="1">
      <c r="A95" s="3" t="s">
        <v>95</v>
      </c>
      <c r="B95" s="4">
        <v>8.6999999999999993</v>
      </c>
      <c r="C95" s="7">
        <f ca="1">[1]!b_calc_curve_chinabond("1102",C$1,$B95)</f>
        <v>2.1183999999999998</v>
      </c>
      <c r="D95" s="7">
        <f ca="1">[1]!b_calc_curve_chinabond("1102",D$1,$B95)</f>
        <v>2.1147999999999998</v>
      </c>
      <c r="E95" s="7">
        <f ca="1">[1]!b_calc_curve_chinabond("1102",E$1,$B95)</f>
        <v>0</v>
      </c>
      <c r="F95" s="7">
        <f ca="1">[1]!b_calc_curve_chinabond("1102",F$1,$B95)</f>
        <v>0</v>
      </c>
      <c r="G95" s="7">
        <f ca="1">[1]!b_calc_curve_chinabond("1102",G$1,$B95)</f>
        <v>2.1107</v>
      </c>
      <c r="H95" s="7">
        <f ca="1">[1]!b_calc_curve_chinabond("1102",H$1,$B95)</f>
        <v>2.1036000000000001</v>
      </c>
      <c r="I95" s="7">
        <f ca="1">[1]!b_calc_curve_chinabond("1102",I$1,$B95)</f>
        <v>2.1004</v>
      </c>
      <c r="J95" s="7">
        <f ca="1">[1]!b_calc_curve_chinabond("1102",J$1,$B95)</f>
        <v>2.0905</v>
      </c>
      <c r="K95" s="7">
        <f ca="1">[1]!b_calc_curve_chinabond("1102",K$1,$B95)</f>
        <v>2.0855000000000001</v>
      </c>
      <c r="L95" s="7">
        <f ca="1">[1]!b_calc_curve_chinabond("1102",L$1,$B95)</f>
        <v>0</v>
      </c>
      <c r="M95" s="7">
        <f ca="1">[1]!b_calc_curve_chinabond("1102",M$1,$B95)</f>
        <v>0</v>
      </c>
      <c r="N95" s="7">
        <f ca="1">[1]!b_calc_curve_chinabond("1102",N$1,$B95)</f>
        <v>2.0808</v>
      </c>
      <c r="O95" s="7">
        <f ca="1">[1]!b_calc_curve_chinabond("1102",O$1,$B95)</f>
        <v>2.0604</v>
      </c>
      <c r="P95" s="7">
        <f ca="1">[1]!b_calc_curve_chinabond("1102",P$1,$B95)</f>
        <v>2.0562</v>
      </c>
      <c r="Q95" s="7">
        <f ca="1">[1]!b_calc_curve_chinabond("1102",Q$1,$B95)</f>
        <v>2.0569999999999999</v>
      </c>
      <c r="R95" s="7">
        <f ca="1">[1]!b_calc_curve_chinabond("1102",R$1,$B95)</f>
        <v>2.0436000000000001</v>
      </c>
      <c r="S95" s="7">
        <f ca="1">[1]!b_calc_curve_chinabond("1102",S$1,$B95)</f>
        <v>0</v>
      </c>
      <c r="T95" s="7">
        <f ca="1">[1]!b_calc_curve_chinabond("1102",T$1,$B95)</f>
        <v>0</v>
      </c>
      <c r="U95" s="7">
        <f ca="1">[1]!b_calc_curve_chinabond("1102",U$1,$B95)</f>
        <v>2.0600999999999998</v>
      </c>
      <c r="V95" s="7">
        <f ca="1">[1]!b_calc_curve_chinabond("1102",V$1,$B95)</f>
        <v>2.0746000000000002</v>
      </c>
      <c r="W95" s="7">
        <f ca="1">[1]!b_calc_curve_chinabond("1102",W$1,$B95)</f>
        <v>2.1069</v>
      </c>
      <c r="X95" s="7">
        <f ca="1">[1]!b_calc_curve_chinabond("1102",X$1,$B95)</f>
        <v>2.1103999999999998</v>
      </c>
      <c r="Y95" s="7">
        <f ca="1">[1]!b_calc_curve_chinabond("1102",Y$1,$B95)</f>
        <v>2.1229</v>
      </c>
      <c r="Z95" s="7">
        <f ca="1">[1]!b_calc_curve_chinabond("1102",Z$1,$B95)</f>
        <v>0</v>
      </c>
      <c r="AA95" s="7">
        <f ca="1">[1]!b_calc_curve_chinabond("1102",AA$1,$B95)</f>
        <v>0</v>
      </c>
      <c r="AB95" s="7">
        <f ca="1">[1]!b_calc_curve_chinabond("1102",AB$1,$B95)</f>
        <v>2.1164000000000001</v>
      </c>
      <c r="AC95" s="7">
        <f ca="1">[1]!b_calc_curve_chinabond("1102",AC$1,$B95)</f>
        <v>2.1120999999999999</v>
      </c>
      <c r="AD95" s="7">
        <f ca="1">[1]!b_calc_curve_chinabond("1102",AD$1,$B95)</f>
        <v>2.0815999999999999</v>
      </c>
      <c r="AE95" s="7">
        <f ca="1">[1]!b_calc_curve_chinabond("1102",AE$1,$B95)</f>
        <v>2.0712000000000002</v>
      </c>
      <c r="AF95" s="7">
        <f ca="1">[1]!b_calc_curve_chinabond("1102",AF$1,$B95)</f>
        <v>0</v>
      </c>
      <c r="AG95" s="7">
        <f ca="1">[1]!b_calc_curve_chinabond("1102",AG$1,$B95)</f>
        <v>0</v>
      </c>
      <c r="AH95" s="7">
        <f ca="1">[1]!b_calc_curve_chinabond("1102",AH$1,$B95)</f>
        <v>0</v>
      </c>
      <c r="AI95" s="7">
        <f ca="1">[1]!b_calc_curve_chinabond("1102",AI$1,$B95)</f>
        <v>0</v>
      </c>
    </row>
    <row r="96" spans="1:35" ht="19.5" customHeight="1">
      <c r="A96" s="1" t="s">
        <v>96</v>
      </c>
      <c r="B96" s="2">
        <v>8.8000000000000007</v>
      </c>
      <c r="C96" s="7">
        <f ca="1">[1]!b_calc_curve_chinabond("1102",C$1,$B96)</f>
        <v>2.1246</v>
      </c>
      <c r="D96" s="7">
        <f ca="1">[1]!b_calc_curve_chinabond("1102",D$1,$B96)</f>
        <v>2.1221999999999999</v>
      </c>
      <c r="E96" s="7">
        <f ca="1">[1]!b_calc_curve_chinabond("1102",E$1,$B96)</f>
        <v>0</v>
      </c>
      <c r="F96" s="7">
        <f ca="1">[1]!b_calc_curve_chinabond("1102",F$1,$B96)</f>
        <v>0</v>
      </c>
      <c r="G96" s="7">
        <f ca="1">[1]!b_calc_curve_chinabond("1102",G$1,$B96)</f>
        <v>2.1173999999999999</v>
      </c>
      <c r="H96" s="7">
        <f ca="1">[1]!b_calc_curve_chinabond("1102",H$1,$B96)</f>
        <v>2.1120000000000001</v>
      </c>
      <c r="I96" s="7">
        <f ca="1">[1]!b_calc_curve_chinabond("1102",I$1,$B96)</f>
        <v>2.1080000000000001</v>
      </c>
      <c r="J96" s="7">
        <f ca="1">[1]!b_calc_curve_chinabond("1102",J$1,$B96)</f>
        <v>2.0973999999999999</v>
      </c>
      <c r="K96" s="7">
        <f ca="1">[1]!b_calc_curve_chinabond("1102",K$1,$B96)</f>
        <v>2.0926999999999998</v>
      </c>
      <c r="L96" s="7">
        <f ca="1">[1]!b_calc_curve_chinabond("1102",L$1,$B96)</f>
        <v>0</v>
      </c>
      <c r="M96" s="7">
        <f ca="1">[1]!b_calc_curve_chinabond("1102",M$1,$B96)</f>
        <v>0</v>
      </c>
      <c r="N96" s="7">
        <f ca="1">[1]!b_calc_curve_chinabond("1102",N$1,$B96)</f>
        <v>2.0876000000000001</v>
      </c>
      <c r="O96" s="7">
        <f ca="1">[1]!b_calc_curve_chinabond("1102",O$1,$B96)</f>
        <v>2.0689000000000002</v>
      </c>
      <c r="P96" s="7">
        <f ca="1">[1]!b_calc_curve_chinabond("1102",P$1,$B96)</f>
        <v>2.0659999999999998</v>
      </c>
      <c r="Q96" s="7">
        <f ca="1">[1]!b_calc_curve_chinabond("1102",Q$1,$B96)</f>
        <v>2.0651999999999999</v>
      </c>
      <c r="R96" s="7">
        <f ca="1">[1]!b_calc_curve_chinabond("1102",R$1,$B96)</f>
        <v>2.0510999999999999</v>
      </c>
      <c r="S96" s="7">
        <f ca="1">[1]!b_calc_curve_chinabond("1102",S$1,$B96)</f>
        <v>0</v>
      </c>
      <c r="T96" s="7">
        <f ca="1">[1]!b_calc_curve_chinabond("1102",T$1,$B96)</f>
        <v>0</v>
      </c>
      <c r="U96" s="7">
        <f ca="1">[1]!b_calc_curve_chinabond("1102",U$1,$B96)</f>
        <v>2.0657999999999999</v>
      </c>
      <c r="V96" s="7">
        <f ca="1">[1]!b_calc_curve_chinabond("1102",V$1,$B96)</f>
        <v>2.0819000000000001</v>
      </c>
      <c r="W96" s="7">
        <f ca="1">[1]!b_calc_curve_chinabond("1102",W$1,$B96)</f>
        <v>2.1139000000000001</v>
      </c>
      <c r="X96" s="7">
        <f ca="1">[1]!b_calc_curve_chinabond("1102",X$1,$B96)</f>
        <v>2.1168</v>
      </c>
      <c r="Y96" s="7">
        <f ca="1">[1]!b_calc_curve_chinabond("1102",Y$1,$B96)</f>
        <v>2.129</v>
      </c>
      <c r="Z96" s="7">
        <f ca="1">[1]!b_calc_curve_chinabond("1102",Z$1,$B96)</f>
        <v>0</v>
      </c>
      <c r="AA96" s="7">
        <f ca="1">[1]!b_calc_curve_chinabond("1102",AA$1,$B96)</f>
        <v>0</v>
      </c>
      <c r="AB96" s="7">
        <f ca="1">[1]!b_calc_curve_chinabond("1102",AB$1,$B96)</f>
        <v>2.1227</v>
      </c>
      <c r="AC96" s="7">
        <f ca="1">[1]!b_calc_curve_chinabond("1102",AC$1,$B96)</f>
        <v>2.1181999999999999</v>
      </c>
      <c r="AD96" s="7">
        <f ca="1">[1]!b_calc_curve_chinabond("1102",AD$1,$B96)</f>
        <v>2.0865999999999998</v>
      </c>
      <c r="AE96" s="7">
        <f ca="1">[1]!b_calc_curve_chinabond("1102",AE$1,$B96)</f>
        <v>2.0764</v>
      </c>
      <c r="AF96" s="7">
        <f ca="1">[1]!b_calc_curve_chinabond("1102",AF$1,$B96)</f>
        <v>0</v>
      </c>
      <c r="AG96" s="7">
        <f ca="1">[1]!b_calc_curve_chinabond("1102",AG$1,$B96)</f>
        <v>0</v>
      </c>
      <c r="AH96" s="7">
        <f ca="1">[1]!b_calc_curve_chinabond("1102",AH$1,$B96)</f>
        <v>0</v>
      </c>
      <c r="AI96" s="7">
        <f ca="1">[1]!b_calc_curve_chinabond("1102",AI$1,$B96)</f>
        <v>0</v>
      </c>
    </row>
    <row r="97" spans="1:35" ht="19.5" customHeight="1">
      <c r="A97" s="3" t="s">
        <v>97</v>
      </c>
      <c r="B97" s="4">
        <v>8.9</v>
      </c>
      <c r="C97" s="7">
        <f ca="1">[1]!b_calc_curve_chinabond("1102",C$1,$B97)</f>
        <v>2.1309</v>
      </c>
      <c r="D97" s="7">
        <f ca="1">[1]!b_calc_curve_chinabond("1102",D$1,$B97)</f>
        <v>2.1295000000000002</v>
      </c>
      <c r="E97" s="7">
        <f ca="1">[1]!b_calc_curve_chinabond("1102",E$1,$B97)</f>
        <v>0</v>
      </c>
      <c r="F97" s="7">
        <f ca="1">[1]!b_calc_curve_chinabond("1102",F$1,$B97)</f>
        <v>0</v>
      </c>
      <c r="G97" s="7">
        <f ca="1">[1]!b_calc_curve_chinabond("1102",G$1,$B97)</f>
        <v>2.1240000000000001</v>
      </c>
      <c r="H97" s="7">
        <f ca="1">[1]!b_calc_curve_chinabond("1102",H$1,$B97)</f>
        <v>2.1202000000000001</v>
      </c>
      <c r="I97" s="7">
        <f ca="1">[1]!b_calc_curve_chinabond("1102",I$1,$B97)</f>
        <v>2.1153</v>
      </c>
      <c r="J97" s="7">
        <f ca="1">[1]!b_calc_curve_chinabond("1102",J$1,$B97)</f>
        <v>2.1042000000000001</v>
      </c>
      <c r="K97" s="7">
        <f ca="1">[1]!b_calc_curve_chinabond("1102",K$1,$B97)</f>
        <v>2.0991</v>
      </c>
      <c r="L97" s="7">
        <f ca="1">[1]!b_calc_curve_chinabond("1102",L$1,$B97)</f>
        <v>0</v>
      </c>
      <c r="M97" s="7">
        <f ca="1">[1]!b_calc_curve_chinabond("1102",M$1,$B97)</f>
        <v>0</v>
      </c>
      <c r="N97" s="7">
        <f ca="1">[1]!b_calc_curve_chinabond("1102",N$1,$B97)</f>
        <v>2.0935999999999999</v>
      </c>
      <c r="O97" s="7">
        <f ca="1">[1]!b_calc_curve_chinabond("1102",O$1,$B97)</f>
        <v>2.0764999999999998</v>
      </c>
      <c r="P97" s="7">
        <f ca="1">[1]!b_calc_curve_chinabond("1102",P$1,$B97)</f>
        <v>2.0745</v>
      </c>
      <c r="Q97" s="7">
        <f ca="1">[1]!b_calc_curve_chinabond("1102",Q$1,$B97)</f>
        <v>2.0720999999999998</v>
      </c>
      <c r="R97" s="7">
        <f ca="1">[1]!b_calc_curve_chinabond("1102",R$1,$B97)</f>
        <v>2.0585</v>
      </c>
      <c r="S97" s="7">
        <f ca="1">[1]!b_calc_curve_chinabond("1102",S$1,$B97)</f>
        <v>0</v>
      </c>
      <c r="T97" s="7">
        <f ca="1">[1]!b_calc_curve_chinabond("1102",T$1,$B97)</f>
        <v>0</v>
      </c>
      <c r="U97" s="7">
        <f ca="1">[1]!b_calc_curve_chinabond("1102",U$1,$B97)</f>
        <v>2.0714999999999999</v>
      </c>
      <c r="V97" s="7">
        <f ca="1">[1]!b_calc_curve_chinabond("1102",V$1,$B97)</f>
        <v>2.089</v>
      </c>
      <c r="W97" s="7">
        <f ca="1">[1]!b_calc_curve_chinabond("1102",W$1,$B97)</f>
        <v>2.1193</v>
      </c>
      <c r="X97" s="7">
        <f ca="1">[1]!b_calc_curve_chinabond("1102",X$1,$B97)</f>
        <v>2.1233</v>
      </c>
      <c r="Y97" s="7">
        <f ca="1">[1]!b_calc_curve_chinabond("1102",Y$1,$B97)</f>
        <v>2.1347</v>
      </c>
      <c r="Z97" s="7">
        <f ca="1">[1]!b_calc_curve_chinabond("1102",Z$1,$B97)</f>
        <v>0</v>
      </c>
      <c r="AA97" s="7">
        <f ca="1">[1]!b_calc_curve_chinabond("1102",AA$1,$B97)</f>
        <v>0</v>
      </c>
      <c r="AB97" s="7">
        <f ca="1">[1]!b_calc_curve_chinabond("1102",AB$1,$B97)</f>
        <v>2.1288999999999998</v>
      </c>
      <c r="AC97" s="7">
        <f ca="1">[1]!b_calc_curve_chinabond("1102",AC$1,$B97)</f>
        <v>2.1232000000000002</v>
      </c>
      <c r="AD97" s="7">
        <f ca="1">[1]!b_calc_curve_chinabond("1102",AD$1,$B97)</f>
        <v>2.0916000000000001</v>
      </c>
      <c r="AE97" s="7">
        <f ca="1">[1]!b_calc_curve_chinabond("1102",AE$1,$B97)</f>
        <v>2.0815000000000001</v>
      </c>
      <c r="AF97" s="7">
        <f ca="1">[1]!b_calc_curve_chinabond("1102",AF$1,$B97)</f>
        <v>0</v>
      </c>
      <c r="AG97" s="7">
        <f ca="1">[1]!b_calc_curve_chinabond("1102",AG$1,$B97)</f>
        <v>0</v>
      </c>
      <c r="AH97" s="7">
        <f ca="1">[1]!b_calc_curve_chinabond("1102",AH$1,$B97)</f>
        <v>0</v>
      </c>
      <c r="AI97" s="7">
        <f ca="1">[1]!b_calc_curve_chinabond("1102",AI$1,$B97)</f>
        <v>0</v>
      </c>
    </row>
    <row r="98" spans="1:35" ht="19.5" customHeight="1">
      <c r="A98" s="1" t="s">
        <v>98</v>
      </c>
      <c r="B98" s="2">
        <v>9</v>
      </c>
      <c r="C98" s="7">
        <f ca="1">[1]!b_calc_curve_chinabond("1102",C$1,$B98)</f>
        <v>2.1372</v>
      </c>
      <c r="D98" s="7">
        <f ca="1">[1]!b_calc_curve_chinabond("1102",D$1,$B98)</f>
        <v>2.1366000000000001</v>
      </c>
      <c r="E98" s="7">
        <f ca="1">[1]!b_calc_curve_chinabond("1102",E$1,$B98)</f>
        <v>0</v>
      </c>
      <c r="F98" s="7">
        <f ca="1">[1]!b_calc_curve_chinabond("1102",F$1,$B98)</f>
        <v>0</v>
      </c>
      <c r="G98" s="7">
        <f ca="1">[1]!b_calc_curve_chinabond("1102",G$1,$B98)</f>
        <v>2.1305999999999998</v>
      </c>
      <c r="H98" s="7">
        <f ca="1">[1]!b_calc_curve_chinabond("1102",H$1,$B98)</f>
        <v>2.1280999999999999</v>
      </c>
      <c r="I98" s="7">
        <f ca="1">[1]!b_calc_curve_chinabond("1102",I$1,$B98)</f>
        <v>2.1225000000000001</v>
      </c>
      <c r="J98" s="7">
        <f ca="1">[1]!b_calc_curve_chinabond("1102",J$1,$B98)</f>
        <v>2.1109</v>
      </c>
      <c r="K98" s="7">
        <f ca="1">[1]!b_calc_curve_chinabond("1102",K$1,$B98)</f>
        <v>2.1046</v>
      </c>
      <c r="L98" s="7">
        <f ca="1">[1]!b_calc_curve_chinabond("1102",L$1,$B98)</f>
        <v>0</v>
      </c>
      <c r="M98" s="7">
        <f ca="1">[1]!b_calc_curve_chinabond("1102",M$1,$B98)</f>
        <v>0</v>
      </c>
      <c r="N98" s="7">
        <f ca="1">[1]!b_calc_curve_chinabond("1102",N$1,$B98)</f>
        <v>2.0989</v>
      </c>
      <c r="O98" s="7">
        <f ca="1">[1]!b_calc_curve_chinabond("1102",O$1,$B98)</f>
        <v>2.0825999999999998</v>
      </c>
      <c r="P98" s="7">
        <f ca="1">[1]!b_calc_curve_chinabond("1102",P$1,$B98)</f>
        <v>2.0811999999999999</v>
      </c>
      <c r="Q98" s="7">
        <f ca="1">[1]!b_calc_curve_chinabond("1102",Q$1,$B98)</f>
        <v>2.077</v>
      </c>
      <c r="R98" s="7">
        <f ca="1">[1]!b_calc_curve_chinabond("1102",R$1,$B98)</f>
        <v>2.0655999999999999</v>
      </c>
      <c r="S98" s="7">
        <f ca="1">[1]!b_calc_curve_chinabond("1102",S$1,$B98)</f>
        <v>0</v>
      </c>
      <c r="T98" s="7">
        <f ca="1">[1]!b_calc_curve_chinabond("1102",T$1,$B98)</f>
        <v>0</v>
      </c>
      <c r="U98" s="7">
        <f ca="1">[1]!b_calc_curve_chinabond("1102",U$1,$B98)</f>
        <v>2.0771999999999999</v>
      </c>
      <c r="V98" s="7">
        <f ca="1">[1]!b_calc_curve_chinabond("1102",V$1,$B98)</f>
        <v>2.0958000000000001</v>
      </c>
      <c r="W98" s="7">
        <f ca="1">[1]!b_calc_curve_chinabond("1102",W$1,$B98)</f>
        <v>2.1227</v>
      </c>
      <c r="X98" s="7">
        <f ca="1">[1]!b_calc_curve_chinabond("1102",X$1,$B98)</f>
        <v>2.1301000000000001</v>
      </c>
      <c r="Y98" s="7">
        <f ca="1">[1]!b_calc_curve_chinabond("1102",Y$1,$B98)</f>
        <v>2.14</v>
      </c>
      <c r="Z98" s="7">
        <f ca="1">[1]!b_calc_curve_chinabond("1102",Z$1,$B98)</f>
        <v>0</v>
      </c>
      <c r="AA98" s="7">
        <f ca="1">[1]!b_calc_curve_chinabond("1102",AA$1,$B98)</f>
        <v>0</v>
      </c>
      <c r="AB98" s="7">
        <f ca="1">[1]!b_calc_curve_chinabond("1102",AB$1,$B98)</f>
        <v>2.1345000000000001</v>
      </c>
      <c r="AC98" s="7">
        <f ca="1">[1]!b_calc_curve_chinabond("1102",AC$1,$B98)</f>
        <v>2.1269999999999998</v>
      </c>
      <c r="AD98" s="7">
        <f ca="1">[1]!b_calc_curve_chinabond("1102",AD$1,$B98)</f>
        <v>2.0969000000000002</v>
      </c>
      <c r="AE98" s="7">
        <f ca="1">[1]!b_calc_curve_chinabond("1102",AE$1,$B98)</f>
        <v>2.0867</v>
      </c>
      <c r="AF98" s="7">
        <f ca="1">[1]!b_calc_curve_chinabond("1102",AF$1,$B98)</f>
        <v>0</v>
      </c>
      <c r="AG98" s="7">
        <f ca="1">[1]!b_calc_curve_chinabond("1102",AG$1,$B98)</f>
        <v>0</v>
      </c>
      <c r="AH98" s="7">
        <f ca="1">[1]!b_calc_curve_chinabond("1102",AH$1,$B98)</f>
        <v>0</v>
      </c>
      <c r="AI98" s="7">
        <f ca="1">[1]!b_calc_curve_chinabond("1102",AI$1,$B98)</f>
        <v>0</v>
      </c>
    </row>
    <row r="99" spans="1:35" ht="19.5" customHeight="1">
      <c r="A99" s="3" t="s">
        <v>99</v>
      </c>
      <c r="B99" s="4">
        <v>9.1</v>
      </c>
      <c r="C99" s="7">
        <f ca="1">[1]!b_calc_curve_chinabond("1102",C$1,$B99)</f>
        <v>2.1429999999999998</v>
      </c>
      <c r="D99" s="7">
        <f ca="1">[1]!b_calc_curve_chinabond("1102",D$1,$B99)</f>
        <v>2.1429</v>
      </c>
      <c r="E99" s="7">
        <f ca="1">[1]!b_calc_curve_chinabond("1102",E$1,$B99)</f>
        <v>0</v>
      </c>
      <c r="F99" s="7">
        <f ca="1">[1]!b_calc_curve_chinabond("1102",F$1,$B99)</f>
        <v>0</v>
      </c>
      <c r="G99" s="7">
        <f ca="1">[1]!b_calc_curve_chinabond("1102",G$1,$B99)</f>
        <v>2.1366999999999998</v>
      </c>
      <c r="H99" s="7">
        <f ca="1">[1]!b_calc_curve_chinabond("1102",H$1,$B99)</f>
        <v>2.1345000000000001</v>
      </c>
      <c r="I99" s="7">
        <f ca="1">[1]!b_calc_curve_chinabond("1102",I$1,$B99)</f>
        <v>2.1286999999999998</v>
      </c>
      <c r="J99" s="7">
        <f ca="1">[1]!b_calc_curve_chinabond("1102",J$1,$B99)</f>
        <v>2.1164999999999998</v>
      </c>
      <c r="K99" s="7">
        <f ca="1">[1]!b_calc_curve_chinabond("1102",K$1,$B99)</f>
        <v>2.1089000000000002</v>
      </c>
      <c r="L99" s="7">
        <f ca="1">[1]!b_calc_curve_chinabond("1102",L$1,$B99)</f>
        <v>0</v>
      </c>
      <c r="M99" s="7">
        <f ca="1">[1]!b_calc_curve_chinabond("1102",M$1,$B99)</f>
        <v>0</v>
      </c>
      <c r="N99" s="7">
        <f ca="1">[1]!b_calc_curve_chinabond("1102",N$1,$B99)</f>
        <v>2.1031</v>
      </c>
      <c r="O99" s="7">
        <f ca="1">[1]!b_calc_curve_chinabond("1102",O$1,$B99)</f>
        <v>2.0872999999999999</v>
      </c>
      <c r="P99" s="7">
        <f ca="1">[1]!b_calc_curve_chinabond("1102",P$1,$B99)</f>
        <v>2.0861000000000001</v>
      </c>
      <c r="Q99" s="7">
        <f ca="1">[1]!b_calc_curve_chinabond("1102",Q$1,$B99)</f>
        <v>2.0804999999999998</v>
      </c>
      <c r="R99" s="7">
        <f ca="1">[1]!b_calc_curve_chinabond("1102",R$1,$B99)</f>
        <v>2.0716999999999999</v>
      </c>
      <c r="S99" s="7">
        <f ca="1">[1]!b_calc_curve_chinabond("1102",S$1,$B99)</f>
        <v>0</v>
      </c>
      <c r="T99" s="7">
        <f ca="1">[1]!b_calc_curve_chinabond("1102",T$1,$B99)</f>
        <v>0</v>
      </c>
      <c r="U99" s="7">
        <f ca="1">[1]!b_calc_curve_chinabond("1102",U$1,$B99)</f>
        <v>2.0823</v>
      </c>
      <c r="V99" s="7">
        <f ca="1">[1]!b_calc_curve_chinabond("1102",V$1,$B99)</f>
        <v>2.1015999999999999</v>
      </c>
      <c r="W99" s="7">
        <f ca="1">[1]!b_calc_curve_chinabond("1102",W$1,$B99)</f>
        <v>2.1248</v>
      </c>
      <c r="X99" s="7">
        <f ca="1">[1]!b_calc_curve_chinabond("1102",X$1,$B99)</f>
        <v>2.1362999999999999</v>
      </c>
      <c r="Y99" s="7">
        <f ca="1">[1]!b_calc_curve_chinabond("1102",Y$1,$B99)</f>
        <v>2.1442999999999999</v>
      </c>
      <c r="Z99" s="7">
        <f ca="1">[1]!b_calc_curve_chinabond("1102",Z$1,$B99)</f>
        <v>0</v>
      </c>
      <c r="AA99" s="7">
        <f ca="1">[1]!b_calc_curve_chinabond("1102",AA$1,$B99)</f>
        <v>0</v>
      </c>
      <c r="AB99" s="7">
        <f ca="1">[1]!b_calc_curve_chinabond("1102",AB$1,$B99)</f>
        <v>2.1389</v>
      </c>
      <c r="AC99" s="7">
        <f ca="1">[1]!b_calc_curve_chinabond("1102",AC$1,$B99)</f>
        <v>2.1297000000000001</v>
      </c>
      <c r="AD99" s="7">
        <f ca="1">[1]!b_calc_curve_chinabond("1102",AD$1,$B99)</f>
        <v>2.1017999999999999</v>
      </c>
      <c r="AE99" s="7">
        <f ca="1">[1]!b_calc_curve_chinabond("1102",AE$1,$B99)</f>
        <v>2.0918999999999999</v>
      </c>
      <c r="AF99" s="7">
        <f ca="1">[1]!b_calc_curve_chinabond("1102",AF$1,$B99)</f>
        <v>0</v>
      </c>
      <c r="AG99" s="7">
        <f ca="1">[1]!b_calc_curve_chinabond("1102",AG$1,$B99)</f>
        <v>0</v>
      </c>
      <c r="AH99" s="7">
        <f ca="1">[1]!b_calc_curve_chinabond("1102",AH$1,$B99)</f>
        <v>0</v>
      </c>
      <c r="AI99" s="7">
        <f ca="1">[1]!b_calc_curve_chinabond("1102",AI$1,$B99)</f>
        <v>0</v>
      </c>
    </row>
    <row r="100" spans="1:35" ht="19.5" customHeight="1">
      <c r="A100" s="1" t="s">
        <v>100</v>
      </c>
      <c r="B100" s="2">
        <v>9.1999999999999993</v>
      </c>
      <c r="C100" s="7">
        <f ca="1">[1]!b_calc_curve_chinabond("1102",C$1,$B100)</f>
        <v>2.1480000000000001</v>
      </c>
      <c r="D100" s="7">
        <f ca="1">[1]!b_calc_curve_chinabond("1102",D$1,$B100)</f>
        <v>2.1480999999999999</v>
      </c>
      <c r="E100" s="7">
        <f ca="1">[1]!b_calc_curve_chinabond("1102",E$1,$B100)</f>
        <v>0</v>
      </c>
      <c r="F100" s="7">
        <f ca="1">[1]!b_calc_curve_chinabond("1102",F$1,$B100)</f>
        <v>0</v>
      </c>
      <c r="G100" s="7">
        <f ca="1">[1]!b_calc_curve_chinabond("1102",G$1,$B100)</f>
        <v>2.1421999999999999</v>
      </c>
      <c r="H100" s="7">
        <f ca="1">[1]!b_calc_curve_chinabond("1102",H$1,$B100)</f>
        <v>2.1389999999999998</v>
      </c>
      <c r="I100" s="7">
        <f ca="1">[1]!b_calc_curve_chinabond("1102",I$1,$B100)</f>
        <v>2.1334</v>
      </c>
      <c r="J100" s="7">
        <f ca="1">[1]!b_calc_curve_chinabond("1102",J$1,$B100)</f>
        <v>2.1208</v>
      </c>
      <c r="K100" s="7">
        <f ca="1">[1]!b_calc_curve_chinabond("1102",K$1,$B100)</f>
        <v>2.1120999999999999</v>
      </c>
      <c r="L100" s="7">
        <f ca="1">[1]!b_calc_curve_chinabond("1102",L$1,$B100)</f>
        <v>0</v>
      </c>
      <c r="M100" s="7">
        <f ca="1">[1]!b_calc_curve_chinabond("1102",M$1,$B100)</f>
        <v>0</v>
      </c>
      <c r="N100" s="7">
        <f ca="1">[1]!b_calc_curve_chinabond("1102",N$1,$B100)</f>
        <v>2.1063000000000001</v>
      </c>
      <c r="O100" s="7">
        <f ca="1">[1]!b_calc_curve_chinabond("1102",O$1,$B100)</f>
        <v>2.0909</v>
      </c>
      <c r="P100" s="7">
        <f ca="1">[1]!b_calc_curve_chinabond("1102",P$1,$B100)</f>
        <v>2.0899000000000001</v>
      </c>
      <c r="Q100" s="7">
        <f ca="1">[1]!b_calc_curve_chinabond("1102",Q$1,$B100)</f>
        <v>2.0832000000000002</v>
      </c>
      <c r="R100" s="7">
        <f ca="1">[1]!b_calc_curve_chinabond("1102",R$1,$B100)</f>
        <v>2.0762999999999998</v>
      </c>
      <c r="S100" s="7">
        <f ca="1">[1]!b_calc_curve_chinabond("1102",S$1,$B100)</f>
        <v>0</v>
      </c>
      <c r="T100" s="7">
        <f ca="1">[1]!b_calc_curve_chinabond("1102",T$1,$B100)</f>
        <v>0</v>
      </c>
      <c r="U100" s="7">
        <f ca="1">[1]!b_calc_curve_chinabond("1102",U$1,$B100)</f>
        <v>2.0863</v>
      </c>
      <c r="V100" s="7">
        <f ca="1">[1]!b_calc_curve_chinabond("1102",V$1,$B100)</f>
        <v>2.1059999999999999</v>
      </c>
      <c r="W100" s="7">
        <f ca="1">[1]!b_calc_curve_chinabond("1102",W$1,$B100)</f>
        <v>2.1265000000000001</v>
      </c>
      <c r="X100" s="7">
        <f ca="1">[1]!b_calc_curve_chinabond("1102",X$1,$B100)</f>
        <v>2.1412</v>
      </c>
      <c r="Y100" s="7">
        <f ca="1">[1]!b_calc_curve_chinabond("1102",Y$1,$B100)</f>
        <v>2.1475</v>
      </c>
      <c r="Z100" s="7">
        <f ca="1">[1]!b_calc_curve_chinabond("1102",Z$1,$B100)</f>
        <v>0</v>
      </c>
      <c r="AA100" s="7">
        <f ca="1">[1]!b_calc_curve_chinabond("1102",AA$1,$B100)</f>
        <v>0</v>
      </c>
      <c r="AB100" s="7">
        <f ca="1">[1]!b_calc_curve_chinabond("1102",AB$1,$B100)</f>
        <v>2.1421999999999999</v>
      </c>
      <c r="AC100" s="7">
        <f ca="1">[1]!b_calc_curve_chinabond("1102",AC$1,$B100)</f>
        <v>2.1316000000000002</v>
      </c>
      <c r="AD100" s="7">
        <f ca="1">[1]!b_calc_curve_chinabond("1102",AD$1,$B100)</f>
        <v>2.1057999999999999</v>
      </c>
      <c r="AE100" s="7">
        <f ca="1">[1]!b_calc_curve_chinabond("1102",AE$1,$B100)</f>
        <v>2.0964</v>
      </c>
      <c r="AF100" s="7">
        <f ca="1">[1]!b_calc_curve_chinabond("1102",AF$1,$B100)</f>
        <v>0</v>
      </c>
      <c r="AG100" s="7">
        <f ca="1">[1]!b_calc_curve_chinabond("1102",AG$1,$B100)</f>
        <v>0</v>
      </c>
      <c r="AH100" s="7">
        <f ca="1">[1]!b_calc_curve_chinabond("1102",AH$1,$B100)</f>
        <v>0</v>
      </c>
      <c r="AI100" s="7">
        <f ca="1">[1]!b_calc_curve_chinabond("1102",AI$1,$B100)</f>
        <v>0</v>
      </c>
    </row>
    <row r="101" spans="1:35" ht="19.5" customHeight="1">
      <c r="A101" s="3" t="s">
        <v>101</v>
      </c>
      <c r="B101" s="4">
        <v>9.3000000000000007</v>
      </c>
      <c r="C101" s="7">
        <f ca="1">[1]!b_calc_curve_chinabond("1102",C$1,$B101)</f>
        <v>2.1522000000000001</v>
      </c>
      <c r="D101" s="7">
        <f ca="1">[1]!b_calc_curve_chinabond("1102",D$1,$B101)</f>
        <v>2.1522999999999999</v>
      </c>
      <c r="E101" s="7">
        <f ca="1">[1]!b_calc_curve_chinabond("1102",E$1,$B101)</f>
        <v>0</v>
      </c>
      <c r="F101" s="7">
        <f ca="1">[1]!b_calc_curve_chinabond("1102",F$1,$B101)</f>
        <v>0</v>
      </c>
      <c r="G101" s="7">
        <f ca="1">[1]!b_calc_curve_chinabond("1102",G$1,$B101)</f>
        <v>2.1469999999999998</v>
      </c>
      <c r="H101" s="7">
        <f ca="1">[1]!b_calc_curve_chinabond("1102",H$1,$B101)</f>
        <v>2.1419000000000001</v>
      </c>
      <c r="I101" s="7">
        <f ca="1">[1]!b_calc_curve_chinabond("1102",I$1,$B101)</f>
        <v>2.1368999999999998</v>
      </c>
      <c r="J101" s="7">
        <f ca="1">[1]!b_calc_curve_chinabond("1102",J$1,$B101)</f>
        <v>2.1238999999999999</v>
      </c>
      <c r="K101" s="7">
        <f ca="1">[1]!b_calc_curve_chinabond("1102",K$1,$B101)</f>
        <v>2.1143999999999998</v>
      </c>
      <c r="L101" s="7">
        <f ca="1">[1]!b_calc_curve_chinabond("1102",L$1,$B101)</f>
        <v>0</v>
      </c>
      <c r="M101" s="7">
        <f ca="1">[1]!b_calc_curve_chinabond("1102",M$1,$B101)</f>
        <v>0</v>
      </c>
      <c r="N101" s="7">
        <f ca="1">[1]!b_calc_curve_chinabond("1102",N$1,$B101)</f>
        <v>2.1086999999999998</v>
      </c>
      <c r="O101" s="7">
        <f ca="1">[1]!b_calc_curve_chinabond("1102",O$1,$B101)</f>
        <v>2.0935999999999999</v>
      </c>
      <c r="P101" s="7">
        <f ca="1">[1]!b_calc_curve_chinabond("1102",P$1,$B101)</f>
        <v>2.0926999999999998</v>
      </c>
      <c r="Q101" s="7">
        <f ca="1">[1]!b_calc_curve_chinabond("1102",Q$1,$B101)</f>
        <v>2.0851999999999999</v>
      </c>
      <c r="R101" s="7">
        <f ca="1">[1]!b_calc_curve_chinabond("1102",R$1,$B101)</f>
        <v>2.0796000000000001</v>
      </c>
      <c r="S101" s="7">
        <f ca="1">[1]!b_calc_curve_chinabond("1102",S$1,$B101)</f>
        <v>0</v>
      </c>
      <c r="T101" s="7">
        <f ca="1">[1]!b_calc_curve_chinabond("1102",T$1,$B101)</f>
        <v>0</v>
      </c>
      <c r="U101" s="7">
        <f ca="1">[1]!b_calc_curve_chinabond("1102",U$1,$B101)</f>
        <v>2.0893999999999999</v>
      </c>
      <c r="V101" s="7">
        <f ca="1">[1]!b_calc_curve_chinabond("1102",V$1,$B101)</f>
        <v>2.1092</v>
      </c>
      <c r="W101" s="7">
        <f ca="1">[1]!b_calc_curve_chinabond("1102",W$1,$B101)</f>
        <v>2.1276999999999999</v>
      </c>
      <c r="X101" s="7">
        <f ca="1">[1]!b_calc_curve_chinabond("1102",X$1,$B101)</f>
        <v>2.1448999999999998</v>
      </c>
      <c r="Y101" s="7">
        <f ca="1">[1]!b_calc_curve_chinabond("1102",Y$1,$B101)</f>
        <v>2.1497000000000002</v>
      </c>
      <c r="Z101" s="7">
        <f ca="1">[1]!b_calc_curve_chinabond("1102",Z$1,$B101)</f>
        <v>0</v>
      </c>
      <c r="AA101" s="7">
        <f ca="1">[1]!b_calc_curve_chinabond("1102",AA$1,$B101)</f>
        <v>0</v>
      </c>
      <c r="AB101" s="7">
        <f ca="1">[1]!b_calc_curve_chinabond("1102",AB$1,$B101)</f>
        <v>2.1446000000000001</v>
      </c>
      <c r="AC101" s="7">
        <f ca="1">[1]!b_calc_curve_chinabond("1102",AC$1,$B101)</f>
        <v>2.1328999999999998</v>
      </c>
      <c r="AD101" s="7">
        <f ca="1">[1]!b_calc_curve_chinabond("1102",AD$1,$B101)</f>
        <v>2.1092</v>
      </c>
      <c r="AE101" s="7">
        <f ca="1">[1]!b_calc_curve_chinabond("1102",AE$1,$B101)</f>
        <v>2.1002999999999998</v>
      </c>
      <c r="AF101" s="7">
        <f ca="1">[1]!b_calc_curve_chinabond("1102",AF$1,$B101)</f>
        <v>0</v>
      </c>
      <c r="AG101" s="7">
        <f ca="1">[1]!b_calc_curve_chinabond("1102",AG$1,$B101)</f>
        <v>0</v>
      </c>
      <c r="AH101" s="7">
        <f ca="1">[1]!b_calc_curve_chinabond("1102",AH$1,$B101)</f>
        <v>0</v>
      </c>
      <c r="AI101" s="7">
        <f ca="1">[1]!b_calc_curve_chinabond("1102",AI$1,$B101)</f>
        <v>0</v>
      </c>
    </row>
    <row r="102" spans="1:35" ht="19.5" customHeight="1">
      <c r="A102" s="1" t="s">
        <v>102</v>
      </c>
      <c r="B102" s="2">
        <v>9.4</v>
      </c>
      <c r="C102" s="7">
        <f ca="1">[1]!b_calc_curve_chinabond("1102",C$1,$B102)</f>
        <v>2.1558999999999999</v>
      </c>
      <c r="D102" s="7">
        <f ca="1">[1]!b_calc_curve_chinabond("1102",D$1,$B102)</f>
        <v>2.1558999999999999</v>
      </c>
      <c r="E102" s="7">
        <f ca="1">[1]!b_calc_curve_chinabond("1102",E$1,$B102)</f>
        <v>0</v>
      </c>
      <c r="F102" s="7">
        <f ca="1">[1]!b_calc_curve_chinabond("1102",F$1,$B102)</f>
        <v>0</v>
      </c>
      <c r="G102" s="7">
        <f ca="1">[1]!b_calc_curve_chinabond("1102",G$1,$B102)</f>
        <v>2.1513</v>
      </c>
      <c r="H102" s="7">
        <f ca="1">[1]!b_calc_curve_chinabond("1102",H$1,$B102)</f>
        <v>2.1438000000000001</v>
      </c>
      <c r="I102" s="7">
        <f ca="1">[1]!b_calc_curve_chinabond("1102",I$1,$B102)</f>
        <v>2.1393</v>
      </c>
      <c r="J102" s="7">
        <f ca="1">[1]!b_calc_curve_chinabond("1102",J$1,$B102)</f>
        <v>2.1261999999999999</v>
      </c>
      <c r="K102" s="7">
        <f ca="1">[1]!b_calc_curve_chinabond("1102",K$1,$B102)</f>
        <v>2.1160000000000001</v>
      </c>
      <c r="L102" s="7">
        <f ca="1">[1]!b_calc_curve_chinabond("1102",L$1,$B102)</f>
        <v>0</v>
      </c>
      <c r="M102" s="7">
        <f ca="1">[1]!b_calc_curve_chinabond("1102",M$1,$B102)</f>
        <v>0</v>
      </c>
      <c r="N102" s="7">
        <f ca="1">[1]!b_calc_curve_chinabond("1102",N$1,$B102)</f>
        <v>2.1103999999999998</v>
      </c>
      <c r="O102" s="7">
        <f ca="1">[1]!b_calc_curve_chinabond("1102",O$1,$B102)</f>
        <v>2.0954999999999999</v>
      </c>
      <c r="P102" s="7">
        <f ca="1">[1]!b_calc_curve_chinabond("1102",P$1,$B102)</f>
        <v>2.0947</v>
      </c>
      <c r="Q102" s="7">
        <f ca="1">[1]!b_calc_curve_chinabond("1102",Q$1,$B102)</f>
        <v>2.0867</v>
      </c>
      <c r="R102" s="7">
        <f ca="1">[1]!b_calc_curve_chinabond("1102",R$1,$B102)</f>
        <v>2.0819000000000001</v>
      </c>
      <c r="S102" s="7">
        <f ca="1">[1]!b_calc_curve_chinabond("1102",S$1,$B102)</f>
        <v>0</v>
      </c>
      <c r="T102" s="7">
        <f ca="1">[1]!b_calc_curve_chinabond("1102",T$1,$B102)</f>
        <v>0</v>
      </c>
      <c r="U102" s="7">
        <f ca="1">[1]!b_calc_curve_chinabond("1102",U$1,$B102)</f>
        <v>2.0916999999999999</v>
      </c>
      <c r="V102" s="7">
        <f ca="1">[1]!b_calc_curve_chinabond("1102",V$1,$B102)</f>
        <v>2.1114000000000002</v>
      </c>
      <c r="W102" s="7">
        <f ca="1">[1]!b_calc_curve_chinabond("1102",W$1,$B102)</f>
        <v>2.1286999999999998</v>
      </c>
      <c r="X102" s="7">
        <f ca="1">[1]!b_calc_curve_chinabond("1102",X$1,$B102)</f>
        <v>2.1478000000000002</v>
      </c>
      <c r="Y102" s="7">
        <f ca="1">[1]!b_calc_curve_chinabond("1102",Y$1,$B102)</f>
        <v>2.1511999999999998</v>
      </c>
      <c r="Z102" s="7">
        <f ca="1">[1]!b_calc_curve_chinabond("1102",Z$1,$B102)</f>
        <v>0</v>
      </c>
      <c r="AA102" s="7">
        <f ca="1">[1]!b_calc_curve_chinabond("1102",AA$1,$B102)</f>
        <v>0</v>
      </c>
      <c r="AB102" s="7">
        <f ca="1">[1]!b_calc_curve_chinabond("1102",AB$1,$B102)</f>
        <v>2.1463000000000001</v>
      </c>
      <c r="AC102" s="7">
        <f ca="1">[1]!b_calc_curve_chinabond("1102",AC$1,$B102)</f>
        <v>2.1337000000000002</v>
      </c>
      <c r="AD102" s="7">
        <f ca="1">[1]!b_calc_curve_chinabond("1102",AD$1,$B102)</f>
        <v>2.1120000000000001</v>
      </c>
      <c r="AE102" s="7">
        <f ca="1">[1]!b_calc_curve_chinabond("1102",AE$1,$B102)</f>
        <v>2.1036000000000001</v>
      </c>
      <c r="AF102" s="7">
        <f ca="1">[1]!b_calc_curve_chinabond("1102",AF$1,$B102)</f>
        <v>0</v>
      </c>
      <c r="AG102" s="7">
        <f ca="1">[1]!b_calc_curve_chinabond("1102",AG$1,$B102)</f>
        <v>0</v>
      </c>
      <c r="AH102" s="7">
        <f ca="1">[1]!b_calc_curve_chinabond("1102",AH$1,$B102)</f>
        <v>0</v>
      </c>
      <c r="AI102" s="7">
        <f ca="1">[1]!b_calc_curve_chinabond("1102",AI$1,$B102)</f>
        <v>0</v>
      </c>
    </row>
    <row r="103" spans="1:35" ht="19.5" customHeight="1">
      <c r="A103" s="3" t="s">
        <v>103</v>
      </c>
      <c r="B103" s="4">
        <v>9.5</v>
      </c>
      <c r="C103" s="7">
        <f ca="1">[1]!b_calc_curve_chinabond("1102",C$1,$B103)</f>
        <v>2.1593</v>
      </c>
      <c r="D103" s="7">
        <f ca="1">[1]!b_calc_curve_chinabond("1102",D$1,$B103)</f>
        <v>2.1591</v>
      </c>
      <c r="E103" s="7">
        <f ca="1">[1]!b_calc_curve_chinabond("1102",E$1,$B103)</f>
        <v>0</v>
      </c>
      <c r="F103" s="7">
        <f ca="1">[1]!b_calc_curve_chinabond("1102",F$1,$B103)</f>
        <v>0</v>
      </c>
      <c r="G103" s="7">
        <f ca="1">[1]!b_calc_curve_chinabond("1102",G$1,$B103)</f>
        <v>2.1553</v>
      </c>
      <c r="H103" s="7">
        <f ca="1">[1]!b_calc_curve_chinabond("1102",H$1,$B103)</f>
        <v>2.1450999999999998</v>
      </c>
      <c r="I103" s="7">
        <f ca="1">[1]!b_calc_curve_chinabond("1102",I$1,$B103)</f>
        <v>2.1410999999999998</v>
      </c>
      <c r="J103" s="7">
        <f ca="1">[1]!b_calc_curve_chinabond("1102",J$1,$B103)</f>
        <v>2.1278999999999999</v>
      </c>
      <c r="K103" s="7">
        <f ca="1">[1]!b_calc_curve_chinabond("1102",K$1,$B103)</f>
        <v>2.117</v>
      </c>
      <c r="L103" s="7">
        <f ca="1">[1]!b_calc_curve_chinabond("1102",L$1,$B103)</f>
        <v>0</v>
      </c>
      <c r="M103" s="7">
        <f ca="1">[1]!b_calc_curve_chinabond("1102",M$1,$B103)</f>
        <v>0</v>
      </c>
      <c r="N103" s="7">
        <f ca="1">[1]!b_calc_curve_chinabond("1102",N$1,$B103)</f>
        <v>2.1116000000000001</v>
      </c>
      <c r="O103" s="7">
        <f ca="1">[1]!b_calc_curve_chinabond("1102",O$1,$B103)</f>
        <v>2.0968</v>
      </c>
      <c r="P103" s="7">
        <f ca="1">[1]!b_calc_curve_chinabond("1102",P$1,$B103)</f>
        <v>2.0960999999999999</v>
      </c>
      <c r="Q103" s="7">
        <f ca="1">[1]!b_calc_curve_chinabond("1102",Q$1,$B103)</f>
        <v>2.0876999999999999</v>
      </c>
      <c r="R103" s="7">
        <f ca="1">[1]!b_calc_curve_chinabond("1102",R$1,$B103)</f>
        <v>2.0834999999999999</v>
      </c>
      <c r="S103" s="7">
        <f ca="1">[1]!b_calc_curve_chinabond("1102",S$1,$B103)</f>
        <v>0</v>
      </c>
      <c r="T103" s="7">
        <f ca="1">[1]!b_calc_curve_chinabond("1102",T$1,$B103)</f>
        <v>0</v>
      </c>
      <c r="U103" s="7">
        <f ca="1">[1]!b_calc_curve_chinabond("1102",U$1,$B103)</f>
        <v>2.0935000000000001</v>
      </c>
      <c r="V103" s="7">
        <f ca="1">[1]!b_calc_curve_chinabond("1102",V$1,$B103)</f>
        <v>2.113</v>
      </c>
      <c r="W103" s="7">
        <f ca="1">[1]!b_calc_curve_chinabond("1102",W$1,$B103)</f>
        <v>2.1293000000000002</v>
      </c>
      <c r="X103" s="7">
        <f ca="1">[1]!b_calc_curve_chinabond("1102",X$1,$B103)</f>
        <v>2.1501000000000001</v>
      </c>
      <c r="Y103" s="7">
        <f ca="1">[1]!b_calc_curve_chinabond("1102",Y$1,$B103)</f>
        <v>2.1520999999999999</v>
      </c>
      <c r="Z103" s="7">
        <f ca="1">[1]!b_calc_curve_chinabond("1102",Z$1,$B103)</f>
        <v>0</v>
      </c>
      <c r="AA103" s="7">
        <f ca="1">[1]!b_calc_curve_chinabond("1102",AA$1,$B103)</f>
        <v>0</v>
      </c>
      <c r="AB103" s="7">
        <f ca="1">[1]!b_calc_curve_chinabond("1102",AB$1,$B103)</f>
        <v>2.1475</v>
      </c>
      <c r="AC103" s="7">
        <f ca="1">[1]!b_calc_curve_chinabond("1102",AC$1,$B103)</f>
        <v>2.1341000000000001</v>
      </c>
      <c r="AD103" s="7">
        <f ca="1">[1]!b_calc_curve_chinabond("1102",AD$1,$B103)</f>
        <v>2.1145</v>
      </c>
      <c r="AE103" s="7">
        <f ca="1">[1]!b_calc_curve_chinabond("1102",AE$1,$B103)</f>
        <v>2.1065999999999998</v>
      </c>
      <c r="AF103" s="7">
        <f ca="1">[1]!b_calc_curve_chinabond("1102",AF$1,$B103)</f>
        <v>0</v>
      </c>
      <c r="AG103" s="7">
        <f ca="1">[1]!b_calc_curve_chinabond("1102",AG$1,$B103)</f>
        <v>0</v>
      </c>
      <c r="AH103" s="7">
        <f ca="1">[1]!b_calc_curve_chinabond("1102",AH$1,$B103)</f>
        <v>0</v>
      </c>
      <c r="AI103" s="7">
        <f ca="1">[1]!b_calc_curve_chinabond("1102",AI$1,$B103)</f>
        <v>0</v>
      </c>
    </row>
    <row r="104" spans="1:35" ht="19.5" customHeight="1">
      <c r="A104" s="1" t="s">
        <v>104</v>
      </c>
      <c r="B104" s="2">
        <v>9.6</v>
      </c>
      <c r="C104" s="7">
        <f ca="1">[1]!b_calc_curve_chinabond("1102",C$1,$B104)</f>
        <v>2.1623000000000001</v>
      </c>
      <c r="D104" s="7">
        <f ca="1">[1]!b_calc_curve_chinabond("1102",D$1,$B104)</f>
        <v>2.1621999999999999</v>
      </c>
      <c r="E104" s="7">
        <f ca="1">[1]!b_calc_curve_chinabond("1102",E$1,$B104)</f>
        <v>0</v>
      </c>
      <c r="F104" s="7">
        <f ca="1">[1]!b_calc_curve_chinabond("1102",F$1,$B104)</f>
        <v>0</v>
      </c>
      <c r="G104" s="7">
        <f ca="1">[1]!b_calc_curve_chinabond("1102",G$1,$B104)</f>
        <v>2.1591</v>
      </c>
      <c r="H104" s="7">
        <f ca="1">[1]!b_calc_curve_chinabond("1102",H$1,$B104)</f>
        <v>2.1461999999999999</v>
      </c>
      <c r="I104" s="7">
        <f ca="1">[1]!b_calc_curve_chinabond("1102",I$1,$B104)</f>
        <v>2.1423999999999999</v>
      </c>
      <c r="J104" s="7">
        <f ca="1">[1]!b_calc_curve_chinabond("1102",J$1,$B104)</f>
        <v>2.1293000000000002</v>
      </c>
      <c r="K104" s="7">
        <f ca="1">[1]!b_calc_curve_chinabond("1102",K$1,$B104)</f>
        <v>2.1177000000000001</v>
      </c>
      <c r="L104" s="7">
        <f ca="1">[1]!b_calc_curve_chinabond("1102",L$1,$B104)</f>
        <v>0</v>
      </c>
      <c r="M104" s="7">
        <f ca="1">[1]!b_calc_curve_chinabond("1102",M$1,$B104)</f>
        <v>0</v>
      </c>
      <c r="N104" s="7">
        <f ca="1">[1]!b_calc_curve_chinabond("1102",N$1,$B104)</f>
        <v>2.1124000000000001</v>
      </c>
      <c r="O104" s="7">
        <f ca="1">[1]!b_calc_curve_chinabond("1102",O$1,$B104)</f>
        <v>2.0977000000000001</v>
      </c>
      <c r="P104" s="7">
        <f ca="1">[1]!b_calc_curve_chinabond("1102",P$1,$B104)</f>
        <v>2.097</v>
      </c>
      <c r="Q104" s="7">
        <f ca="1">[1]!b_calc_curve_chinabond("1102",Q$1,$B104)</f>
        <v>2.0884</v>
      </c>
      <c r="R104" s="7">
        <f ca="1">[1]!b_calc_curve_chinabond("1102",R$1,$B104)</f>
        <v>2.0846</v>
      </c>
      <c r="S104" s="7">
        <f ca="1">[1]!b_calc_curve_chinabond("1102",S$1,$B104)</f>
        <v>0</v>
      </c>
      <c r="T104" s="7">
        <f ca="1">[1]!b_calc_curve_chinabond("1102",T$1,$B104)</f>
        <v>0</v>
      </c>
      <c r="U104" s="7">
        <f ca="1">[1]!b_calc_curve_chinabond("1102",U$1,$B104)</f>
        <v>2.0949</v>
      </c>
      <c r="V104" s="7">
        <f ca="1">[1]!b_calc_curve_chinabond("1102",V$1,$B104)</f>
        <v>2.1141000000000001</v>
      </c>
      <c r="W104" s="7">
        <f ca="1">[1]!b_calc_curve_chinabond("1102",W$1,$B104)</f>
        <v>2.1297999999999999</v>
      </c>
      <c r="X104" s="7">
        <f ca="1">[1]!b_calc_curve_chinabond("1102",X$1,$B104)</f>
        <v>2.1520000000000001</v>
      </c>
      <c r="Y104" s="7">
        <f ca="1">[1]!b_calc_curve_chinabond("1102",Y$1,$B104)</f>
        <v>2.1528</v>
      </c>
      <c r="Z104" s="7">
        <f ca="1">[1]!b_calc_curve_chinabond("1102",Z$1,$B104)</f>
        <v>0</v>
      </c>
      <c r="AA104" s="7">
        <f ca="1">[1]!b_calc_curve_chinabond("1102",AA$1,$B104)</f>
        <v>0</v>
      </c>
      <c r="AB104" s="7">
        <f ca="1">[1]!b_calc_curve_chinabond("1102",AB$1,$B104)</f>
        <v>2.1484999999999999</v>
      </c>
      <c r="AC104" s="7">
        <f ca="1">[1]!b_calc_curve_chinabond("1102",AC$1,$B104)</f>
        <v>2.1343999999999999</v>
      </c>
      <c r="AD104" s="7">
        <f ca="1">[1]!b_calc_curve_chinabond("1102",AD$1,$B104)</f>
        <v>2.1166999999999998</v>
      </c>
      <c r="AE104" s="7">
        <f ca="1">[1]!b_calc_curve_chinabond("1102",AE$1,$B104)</f>
        <v>2.1093000000000002</v>
      </c>
      <c r="AF104" s="7">
        <f ca="1">[1]!b_calc_curve_chinabond("1102",AF$1,$B104)</f>
        <v>0</v>
      </c>
      <c r="AG104" s="7">
        <f ca="1">[1]!b_calc_curve_chinabond("1102",AG$1,$B104)</f>
        <v>0</v>
      </c>
      <c r="AH104" s="7">
        <f ca="1">[1]!b_calc_curve_chinabond("1102",AH$1,$B104)</f>
        <v>0</v>
      </c>
      <c r="AI104" s="7">
        <f ca="1">[1]!b_calc_curve_chinabond("1102",AI$1,$B104)</f>
        <v>0</v>
      </c>
    </row>
    <row r="105" spans="1:35" ht="19.5" customHeight="1">
      <c r="A105" s="3" t="s">
        <v>105</v>
      </c>
      <c r="B105" s="4">
        <v>9.6999999999999993</v>
      </c>
      <c r="C105" s="7">
        <f ca="1">[1]!b_calc_curve_chinabond("1102",C$1,$B105)</f>
        <v>2.1652999999999998</v>
      </c>
      <c r="D105" s="7">
        <f ca="1">[1]!b_calc_curve_chinabond("1102",D$1,$B105)</f>
        <v>2.1652999999999998</v>
      </c>
      <c r="E105" s="7">
        <f ca="1">[1]!b_calc_curve_chinabond("1102",E$1,$B105)</f>
        <v>0</v>
      </c>
      <c r="F105" s="7">
        <f ca="1">[1]!b_calc_curve_chinabond("1102",F$1,$B105)</f>
        <v>0</v>
      </c>
      <c r="G105" s="7">
        <f ca="1">[1]!b_calc_curve_chinabond("1102",G$1,$B105)</f>
        <v>2.1627999999999998</v>
      </c>
      <c r="H105" s="7">
        <f ca="1">[1]!b_calc_curve_chinabond("1102",H$1,$B105)</f>
        <v>2.1475</v>
      </c>
      <c r="I105" s="7">
        <f ca="1">[1]!b_calc_curve_chinabond("1102",I$1,$B105)</f>
        <v>2.1435</v>
      </c>
      <c r="J105" s="7">
        <f ca="1">[1]!b_calc_curve_chinabond("1102",J$1,$B105)</f>
        <v>2.1307</v>
      </c>
      <c r="K105" s="7">
        <f ca="1">[1]!b_calc_curve_chinabond("1102",K$1,$B105)</f>
        <v>2.1183000000000001</v>
      </c>
      <c r="L105" s="7">
        <f ca="1">[1]!b_calc_curve_chinabond("1102",L$1,$B105)</f>
        <v>0</v>
      </c>
      <c r="M105" s="7">
        <f ca="1">[1]!b_calc_curve_chinabond("1102",M$1,$B105)</f>
        <v>0</v>
      </c>
      <c r="N105" s="7">
        <f ca="1">[1]!b_calc_curve_chinabond("1102",N$1,$B105)</f>
        <v>2.113</v>
      </c>
      <c r="O105" s="7">
        <f ca="1">[1]!b_calc_curve_chinabond("1102",O$1,$B105)</f>
        <v>2.0983999999999998</v>
      </c>
      <c r="P105" s="7">
        <f ca="1">[1]!b_calc_curve_chinabond("1102",P$1,$B105)</f>
        <v>2.0977000000000001</v>
      </c>
      <c r="Q105" s="7">
        <f ca="1">[1]!b_calc_curve_chinabond("1102",Q$1,$B105)</f>
        <v>2.0889000000000002</v>
      </c>
      <c r="R105" s="7">
        <f ca="1">[1]!b_calc_curve_chinabond("1102",R$1,$B105)</f>
        <v>2.0855999999999999</v>
      </c>
      <c r="S105" s="7">
        <f ca="1">[1]!b_calc_curve_chinabond("1102",S$1,$B105)</f>
        <v>0</v>
      </c>
      <c r="T105" s="7">
        <f ca="1">[1]!b_calc_curve_chinabond("1102",T$1,$B105)</f>
        <v>0</v>
      </c>
      <c r="U105" s="7">
        <f ca="1">[1]!b_calc_curve_chinabond("1102",U$1,$B105)</f>
        <v>2.0962000000000001</v>
      </c>
      <c r="V105" s="7">
        <f ca="1">[1]!b_calc_curve_chinabond("1102",V$1,$B105)</f>
        <v>2.1150000000000002</v>
      </c>
      <c r="W105" s="7">
        <f ca="1">[1]!b_calc_curve_chinabond("1102",W$1,$B105)</f>
        <v>2.13</v>
      </c>
      <c r="X105" s="7">
        <f ca="1">[1]!b_calc_curve_chinabond("1102",X$1,$B105)</f>
        <v>2.1537000000000002</v>
      </c>
      <c r="Y105" s="7">
        <f ca="1">[1]!b_calc_curve_chinabond("1102",Y$1,$B105)</f>
        <v>2.1534</v>
      </c>
      <c r="Z105" s="7">
        <f ca="1">[1]!b_calc_curve_chinabond("1102",Z$1,$B105)</f>
        <v>0</v>
      </c>
      <c r="AA105" s="7">
        <f ca="1">[1]!b_calc_curve_chinabond("1102",AA$1,$B105)</f>
        <v>0</v>
      </c>
      <c r="AB105" s="7">
        <f ca="1">[1]!b_calc_curve_chinabond("1102",AB$1,$B105)</f>
        <v>2.1493000000000002</v>
      </c>
      <c r="AC105" s="7">
        <f ca="1">[1]!b_calc_curve_chinabond("1102",AC$1,$B105)</f>
        <v>2.1347999999999998</v>
      </c>
      <c r="AD105" s="7">
        <f ca="1">[1]!b_calc_curve_chinabond("1102",AD$1,$B105)</f>
        <v>2.1187999999999998</v>
      </c>
      <c r="AE105" s="7">
        <f ca="1">[1]!b_calc_curve_chinabond("1102",AE$1,$B105)</f>
        <v>2.1118000000000001</v>
      </c>
      <c r="AF105" s="7">
        <f ca="1">[1]!b_calc_curve_chinabond("1102",AF$1,$B105)</f>
        <v>0</v>
      </c>
      <c r="AG105" s="7">
        <f ca="1">[1]!b_calc_curve_chinabond("1102",AG$1,$B105)</f>
        <v>0</v>
      </c>
      <c r="AH105" s="7">
        <f ca="1">[1]!b_calc_curve_chinabond("1102",AH$1,$B105)</f>
        <v>0</v>
      </c>
      <c r="AI105" s="7">
        <f ca="1">[1]!b_calc_curve_chinabond("1102",AI$1,$B105)</f>
        <v>0</v>
      </c>
    </row>
    <row r="106" spans="1:35" ht="19.5" customHeight="1">
      <c r="A106" s="1" t="s">
        <v>106</v>
      </c>
      <c r="B106" s="2">
        <v>9.8000000000000007</v>
      </c>
      <c r="C106" s="7">
        <f ca="1">[1]!b_calc_curve_chinabond("1102",C$1,$B106)</f>
        <v>2.1682999999999999</v>
      </c>
      <c r="D106" s="7">
        <f ca="1">[1]!b_calc_curve_chinabond("1102",D$1,$B106)</f>
        <v>2.1688999999999998</v>
      </c>
      <c r="E106" s="7">
        <f ca="1">[1]!b_calc_curve_chinabond("1102",E$1,$B106)</f>
        <v>0</v>
      </c>
      <c r="F106" s="7">
        <f ca="1">[1]!b_calc_curve_chinabond("1102",F$1,$B106)</f>
        <v>0</v>
      </c>
      <c r="G106" s="7">
        <f ca="1">[1]!b_calc_curve_chinabond("1102",G$1,$B106)</f>
        <v>2.1665999999999999</v>
      </c>
      <c r="H106" s="7">
        <f ca="1">[1]!b_calc_curve_chinabond("1102",H$1,$B106)</f>
        <v>2.1496</v>
      </c>
      <c r="I106" s="7">
        <f ca="1">[1]!b_calc_curve_chinabond("1102",I$1,$B106)</f>
        <v>2.1448</v>
      </c>
      <c r="J106" s="7">
        <f ca="1">[1]!b_calc_curve_chinabond("1102",J$1,$B106)</f>
        <v>2.1324000000000001</v>
      </c>
      <c r="K106" s="7">
        <f ca="1">[1]!b_calc_curve_chinabond("1102",K$1,$B106)</f>
        <v>2.1189</v>
      </c>
      <c r="L106" s="7">
        <f ca="1">[1]!b_calc_curve_chinabond("1102",L$1,$B106)</f>
        <v>0</v>
      </c>
      <c r="M106" s="7">
        <f ca="1">[1]!b_calc_curve_chinabond("1102",M$1,$B106)</f>
        <v>0</v>
      </c>
      <c r="N106" s="7">
        <f ca="1">[1]!b_calc_curve_chinabond("1102",N$1,$B106)</f>
        <v>2.1135999999999999</v>
      </c>
      <c r="O106" s="7">
        <f ca="1">[1]!b_calc_curve_chinabond("1102",O$1,$B106)</f>
        <v>2.0990000000000002</v>
      </c>
      <c r="P106" s="7">
        <f ca="1">[1]!b_calc_curve_chinabond("1102",P$1,$B106)</f>
        <v>2.0983000000000001</v>
      </c>
      <c r="Q106" s="7">
        <f ca="1">[1]!b_calc_curve_chinabond("1102",Q$1,$B106)</f>
        <v>2.0893000000000002</v>
      </c>
      <c r="R106" s="7">
        <f ca="1">[1]!b_calc_curve_chinabond("1102",R$1,$B106)</f>
        <v>2.0867</v>
      </c>
      <c r="S106" s="7">
        <f ca="1">[1]!b_calc_curve_chinabond("1102",S$1,$B106)</f>
        <v>0</v>
      </c>
      <c r="T106" s="7">
        <f ca="1">[1]!b_calc_curve_chinabond("1102",T$1,$B106)</f>
        <v>0</v>
      </c>
      <c r="U106" s="7">
        <f ca="1">[1]!b_calc_curve_chinabond("1102",U$1,$B106)</f>
        <v>2.0975999999999999</v>
      </c>
      <c r="V106" s="7">
        <f ca="1">[1]!b_calc_curve_chinabond("1102",V$1,$B106)</f>
        <v>2.1160000000000001</v>
      </c>
      <c r="W106" s="7">
        <f ca="1">[1]!b_calc_curve_chinabond("1102",W$1,$B106)</f>
        <v>2.1301999999999999</v>
      </c>
      <c r="X106" s="7">
        <f ca="1">[1]!b_calc_curve_chinabond("1102",X$1,$B106)</f>
        <v>2.1555</v>
      </c>
      <c r="Y106" s="7">
        <f ca="1">[1]!b_calc_curve_chinabond("1102",Y$1,$B106)</f>
        <v>2.1541999999999999</v>
      </c>
      <c r="Z106" s="7">
        <f ca="1">[1]!b_calc_curve_chinabond("1102",Z$1,$B106)</f>
        <v>0</v>
      </c>
      <c r="AA106" s="7">
        <f ca="1">[1]!b_calc_curve_chinabond("1102",AA$1,$B106)</f>
        <v>0</v>
      </c>
      <c r="AB106" s="7">
        <f ca="1">[1]!b_calc_curve_chinabond("1102",AB$1,$B106)</f>
        <v>2.1501000000000001</v>
      </c>
      <c r="AC106" s="7">
        <f ca="1">[1]!b_calc_curve_chinabond("1102",AC$1,$B106)</f>
        <v>2.1352000000000002</v>
      </c>
      <c r="AD106" s="7">
        <f ca="1">[1]!b_calc_curve_chinabond("1102",AD$1,$B106)</f>
        <v>2.121</v>
      </c>
      <c r="AE106" s="7">
        <f ca="1">[1]!b_calc_curve_chinabond("1102",AE$1,$B106)</f>
        <v>2.1143999999999998</v>
      </c>
      <c r="AF106" s="7">
        <f ca="1">[1]!b_calc_curve_chinabond("1102",AF$1,$B106)</f>
        <v>0</v>
      </c>
      <c r="AG106" s="7">
        <f ca="1">[1]!b_calc_curve_chinabond("1102",AG$1,$B106)</f>
        <v>0</v>
      </c>
      <c r="AH106" s="7">
        <f ca="1">[1]!b_calc_curve_chinabond("1102",AH$1,$B106)</f>
        <v>0</v>
      </c>
      <c r="AI106" s="7">
        <f ca="1">[1]!b_calc_curve_chinabond("1102",AI$1,$B106)</f>
        <v>0</v>
      </c>
    </row>
    <row r="107" spans="1:35" ht="19.5" customHeight="1">
      <c r="A107" s="3" t="s">
        <v>107</v>
      </c>
      <c r="B107" s="4">
        <v>9.9</v>
      </c>
      <c r="C107" s="7">
        <f ca="1">[1]!b_calc_curve_chinabond("1102",C$1,$B107)</f>
        <v>2.1715</v>
      </c>
      <c r="D107" s="7">
        <f ca="1">[1]!b_calc_curve_chinabond("1102",D$1,$B107)</f>
        <v>2.1728999999999998</v>
      </c>
      <c r="E107" s="7">
        <f ca="1">[1]!b_calc_curve_chinabond("1102",E$1,$B107)</f>
        <v>0</v>
      </c>
      <c r="F107" s="7">
        <f ca="1">[1]!b_calc_curve_chinabond("1102",F$1,$B107)</f>
        <v>0</v>
      </c>
      <c r="G107" s="7">
        <f ca="1">[1]!b_calc_curve_chinabond("1102",G$1,$B107)</f>
        <v>2.1705000000000001</v>
      </c>
      <c r="H107" s="7">
        <f ca="1">[1]!b_calc_curve_chinabond("1102",H$1,$B107)</f>
        <v>2.1522999999999999</v>
      </c>
      <c r="I107" s="7">
        <f ca="1">[1]!b_calc_curve_chinabond("1102",I$1,$B107)</f>
        <v>2.1463000000000001</v>
      </c>
      <c r="J107" s="7">
        <f ca="1">[1]!b_calc_curve_chinabond("1102",J$1,$B107)</f>
        <v>2.1345000000000001</v>
      </c>
      <c r="K107" s="7">
        <f ca="1">[1]!b_calc_curve_chinabond("1102",K$1,$B107)</f>
        <v>2.1198000000000001</v>
      </c>
      <c r="L107" s="7">
        <f ca="1">[1]!b_calc_curve_chinabond("1102",L$1,$B107)</f>
        <v>0</v>
      </c>
      <c r="M107" s="7">
        <f ca="1">[1]!b_calc_curve_chinabond("1102",M$1,$B107)</f>
        <v>0</v>
      </c>
      <c r="N107" s="7">
        <f ca="1">[1]!b_calc_curve_chinabond("1102",N$1,$B107)</f>
        <v>2.1141999999999999</v>
      </c>
      <c r="O107" s="7">
        <f ca="1">[1]!b_calc_curve_chinabond("1102",O$1,$B107)</f>
        <v>2.0998000000000001</v>
      </c>
      <c r="P107" s="7">
        <f ca="1">[1]!b_calc_curve_chinabond("1102",P$1,$B107)</f>
        <v>2.0991</v>
      </c>
      <c r="Q107" s="7">
        <f ca="1">[1]!b_calc_curve_chinabond("1102",Q$1,$B107)</f>
        <v>2.0897000000000001</v>
      </c>
      <c r="R107" s="7">
        <f ca="1">[1]!b_calc_curve_chinabond("1102",R$1,$B107)</f>
        <v>2.0882999999999998</v>
      </c>
      <c r="S107" s="7">
        <f ca="1">[1]!b_calc_curve_chinabond("1102",S$1,$B107)</f>
        <v>0</v>
      </c>
      <c r="T107" s="7">
        <f ca="1">[1]!b_calc_curve_chinabond("1102",T$1,$B107)</f>
        <v>0</v>
      </c>
      <c r="U107" s="7">
        <f ca="1">[1]!b_calc_curve_chinabond("1102",U$1,$B107)</f>
        <v>2.0992999999999999</v>
      </c>
      <c r="V107" s="7">
        <f ca="1">[1]!b_calc_curve_chinabond("1102",V$1,$B107)</f>
        <v>2.1172</v>
      </c>
      <c r="W107" s="7">
        <f ca="1">[1]!b_calc_curve_chinabond("1102",W$1,$B107)</f>
        <v>2.1303999999999998</v>
      </c>
      <c r="X107" s="7">
        <f ca="1">[1]!b_calc_curve_chinabond("1102",X$1,$B107)</f>
        <v>2.1576</v>
      </c>
      <c r="Y107" s="7">
        <f ca="1">[1]!b_calc_curve_chinabond("1102",Y$1,$B107)</f>
        <v>2.1553</v>
      </c>
      <c r="Z107" s="7">
        <f ca="1">[1]!b_calc_curve_chinabond("1102",Z$1,$B107)</f>
        <v>0</v>
      </c>
      <c r="AA107" s="7">
        <f ca="1">[1]!b_calc_curve_chinabond("1102",AA$1,$B107)</f>
        <v>0</v>
      </c>
      <c r="AB107" s="7">
        <f ca="1">[1]!b_calc_curve_chinabond("1102",AB$1,$B107)</f>
        <v>2.1513</v>
      </c>
      <c r="AC107" s="7">
        <f ca="1">[1]!b_calc_curve_chinabond("1102",AC$1,$B107)</f>
        <v>2.1358999999999999</v>
      </c>
      <c r="AD107" s="7">
        <f ca="1">[1]!b_calc_curve_chinabond("1102",AD$1,$B107)</f>
        <v>2.1233</v>
      </c>
      <c r="AE107" s="7">
        <f ca="1">[1]!b_calc_curve_chinabond("1102",AE$1,$B107)</f>
        <v>2.1172</v>
      </c>
      <c r="AF107" s="7">
        <f ca="1">[1]!b_calc_curve_chinabond("1102",AF$1,$B107)</f>
        <v>0</v>
      </c>
      <c r="AG107" s="7">
        <f ca="1">[1]!b_calc_curve_chinabond("1102",AG$1,$B107)</f>
        <v>0</v>
      </c>
      <c r="AH107" s="7">
        <f ca="1">[1]!b_calc_curve_chinabond("1102",AH$1,$B107)</f>
        <v>0</v>
      </c>
      <c r="AI107" s="7">
        <f ca="1">[1]!b_calc_curve_chinabond("1102",AI$1,$B107)</f>
        <v>0</v>
      </c>
    </row>
    <row r="108" spans="1:35" ht="19.5" customHeight="1">
      <c r="A108" s="1" t="s">
        <v>108</v>
      </c>
      <c r="B108" s="2">
        <v>10</v>
      </c>
      <c r="C108" s="7">
        <f ca="1">[1]!b_calc_curve_chinabond("1102",C$1,$B108)</f>
        <v>2.1749999999999998</v>
      </c>
      <c r="D108" s="7">
        <f ca="1">[1]!b_calc_curve_chinabond("1102",D$1,$B108)</f>
        <v>2.1768999999999998</v>
      </c>
      <c r="E108" s="7">
        <f ca="1">[1]!b_calc_curve_chinabond("1102",E$1,$B108)</f>
        <v>0</v>
      </c>
      <c r="F108" s="7">
        <f ca="1">[1]!b_calc_curve_chinabond("1102",F$1,$B108)</f>
        <v>0</v>
      </c>
      <c r="G108" s="7">
        <f ca="1">[1]!b_calc_curve_chinabond("1102",G$1,$B108)</f>
        <v>2.1747000000000001</v>
      </c>
      <c r="H108" s="7">
        <f ca="1">[1]!b_calc_curve_chinabond("1102",H$1,$B108)</f>
        <v>2.1551</v>
      </c>
      <c r="I108" s="7">
        <f ca="1">[1]!b_calc_curve_chinabond("1102",I$1,$B108)</f>
        <v>2.1484999999999999</v>
      </c>
      <c r="J108" s="7">
        <f ca="1">[1]!b_calc_curve_chinabond("1102",J$1,$B108)</f>
        <v>2.1372</v>
      </c>
      <c r="K108" s="7">
        <f ca="1">[1]!b_calc_curve_chinabond("1102",K$1,$B108)</f>
        <v>2.121</v>
      </c>
      <c r="L108" s="7">
        <f ca="1">[1]!b_calc_curve_chinabond("1102",L$1,$B108)</f>
        <v>0</v>
      </c>
      <c r="M108" s="7">
        <f ca="1">[1]!b_calc_curve_chinabond("1102",M$1,$B108)</f>
        <v>0</v>
      </c>
      <c r="N108" s="7">
        <f ca="1">[1]!b_calc_curve_chinabond("1102",N$1,$B108)</f>
        <v>2.1151</v>
      </c>
      <c r="O108" s="7">
        <f ca="1">[1]!b_calc_curve_chinabond("1102",O$1,$B108)</f>
        <v>2.1008</v>
      </c>
      <c r="P108" s="7">
        <f ca="1">[1]!b_calc_curve_chinabond("1102",P$1,$B108)</f>
        <v>2.1002000000000001</v>
      </c>
      <c r="Q108" s="7">
        <f ca="1">[1]!b_calc_curve_chinabond("1102",Q$1,$B108)</f>
        <v>2.0901999999999998</v>
      </c>
      <c r="R108" s="7">
        <f ca="1">[1]!b_calc_curve_chinabond("1102",R$1,$B108)</f>
        <v>2.0905</v>
      </c>
      <c r="S108" s="7">
        <f ca="1">[1]!b_calc_curve_chinabond("1102",S$1,$B108)</f>
        <v>0</v>
      </c>
      <c r="T108" s="7">
        <f ca="1">[1]!b_calc_curve_chinabond("1102",T$1,$B108)</f>
        <v>0</v>
      </c>
      <c r="U108" s="7">
        <f ca="1">[1]!b_calc_curve_chinabond("1102",U$1,$B108)</f>
        <v>2.1013999999999999</v>
      </c>
      <c r="V108" s="7">
        <f ca="1">[1]!b_calc_curve_chinabond("1102",V$1,$B108)</f>
        <v>2.1190000000000002</v>
      </c>
      <c r="W108" s="7">
        <f ca="1">[1]!b_calc_curve_chinabond("1102",W$1,$B108)</f>
        <v>2.1305999999999998</v>
      </c>
      <c r="X108" s="7">
        <f ca="1">[1]!b_calc_curve_chinabond("1102",X$1,$B108)</f>
        <v>2.1602000000000001</v>
      </c>
      <c r="Y108" s="7">
        <f ca="1">[1]!b_calc_curve_chinabond("1102",Y$1,$B108)</f>
        <v>2.1566000000000001</v>
      </c>
      <c r="Z108" s="7">
        <f ca="1">[1]!b_calc_curve_chinabond("1102",Z$1,$B108)</f>
        <v>0</v>
      </c>
      <c r="AA108" s="7">
        <f ca="1">[1]!b_calc_curve_chinabond("1102",AA$1,$B108)</f>
        <v>0</v>
      </c>
      <c r="AB108" s="7">
        <f ca="1">[1]!b_calc_curve_chinabond("1102",AB$1,$B108)</f>
        <v>2.1528999999999998</v>
      </c>
      <c r="AC108" s="7">
        <f ca="1">[1]!b_calc_curve_chinabond("1102",AC$1,$B108)</f>
        <v>2.1366999999999998</v>
      </c>
      <c r="AD108" s="7">
        <f ca="1">[1]!b_calc_curve_chinabond("1102",AD$1,$B108)</f>
        <v>2.1259999999999999</v>
      </c>
      <c r="AE108" s="7">
        <f ca="1">[1]!b_calc_curve_chinabond("1102",AE$1,$B108)</f>
        <v>2.1202000000000001</v>
      </c>
      <c r="AF108" s="7">
        <f ca="1">[1]!b_calc_curve_chinabond("1102",AF$1,$B108)</f>
        <v>0</v>
      </c>
      <c r="AG108" s="7">
        <f ca="1">[1]!b_calc_curve_chinabond("1102",AG$1,$B108)</f>
        <v>0</v>
      </c>
      <c r="AH108" s="7">
        <f ca="1">[1]!b_calc_curve_chinabond("1102",AH$1,$B108)</f>
        <v>0</v>
      </c>
      <c r="AI108" s="7">
        <f ca="1">[1]!b_calc_curve_chinabond("1102",AI$1,$B108)</f>
        <v>0</v>
      </c>
    </row>
    <row r="109" spans="1:35" ht="19.5" customHeight="1">
      <c r="A109" s="3" t="s">
        <v>109</v>
      </c>
      <c r="B109" s="4">
        <v>10.1</v>
      </c>
      <c r="C109" s="7">
        <f ca="1">[1]!b_calc_curve_chinabond("1102",C$1,$B109)</f>
        <v>2.1787000000000001</v>
      </c>
      <c r="D109" s="7">
        <f ca="1">[1]!b_calc_curve_chinabond("1102",D$1,$B109)</f>
        <v>2.1808000000000001</v>
      </c>
      <c r="E109" s="7">
        <f ca="1">[1]!b_calc_curve_chinabond("1102",E$1,$B109)</f>
        <v>0</v>
      </c>
      <c r="F109" s="7">
        <f ca="1">[1]!b_calc_curve_chinabond("1102",F$1,$B109)</f>
        <v>0</v>
      </c>
      <c r="G109" s="7">
        <f ca="1">[1]!b_calc_curve_chinabond("1102",G$1,$B109)</f>
        <v>2.1791</v>
      </c>
      <c r="H109" s="7">
        <f ca="1">[1]!b_calc_curve_chinabond("1102",H$1,$B109)</f>
        <v>2.1579999999999999</v>
      </c>
      <c r="I109" s="7">
        <f ca="1">[1]!b_calc_curve_chinabond("1102",I$1,$B109)</f>
        <v>2.1511999999999998</v>
      </c>
      <c r="J109" s="7">
        <f ca="1">[1]!b_calc_curve_chinabond("1102",J$1,$B109)</f>
        <v>2.14</v>
      </c>
      <c r="K109" s="7">
        <f ca="1">[1]!b_calc_curve_chinabond("1102",K$1,$B109)</f>
        <v>2.1223999999999998</v>
      </c>
      <c r="L109" s="7">
        <f ca="1">[1]!b_calc_curve_chinabond("1102",L$1,$B109)</f>
        <v>0</v>
      </c>
      <c r="M109" s="7">
        <f ca="1">[1]!b_calc_curve_chinabond("1102",M$1,$B109)</f>
        <v>0</v>
      </c>
      <c r="N109" s="7">
        <f ca="1">[1]!b_calc_curve_chinabond("1102",N$1,$B109)</f>
        <v>2.1162999999999998</v>
      </c>
      <c r="O109" s="7">
        <f ca="1">[1]!b_calc_curve_chinabond("1102",O$1,$B109)</f>
        <v>2.1021999999999998</v>
      </c>
      <c r="P109" s="7">
        <f ca="1">[1]!b_calc_curve_chinabond("1102",P$1,$B109)</f>
        <v>2.1015000000000001</v>
      </c>
      <c r="Q109" s="7">
        <f ca="1">[1]!b_calc_curve_chinabond("1102",Q$1,$B109)</f>
        <v>2.0910000000000002</v>
      </c>
      <c r="R109" s="7">
        <f ca="1">[1]!b_calc_curve_chinabond("1102",R$1,$B109)</f>
        <v>2.093</v>
      </c>
      <c r="S109" s="7">
        <f ca="1">[1]!b_calc_curve_chinabond("1102",S$1,$B109)</f>
        <v>0</v>
      </c>
      <c r="T109" s="7">
        <f ca="1">[1]!b_calc_curve_chinabond("1102",T$1,$B109)</f>
        <v>0</v>
      </c>
      <c r="U109" s="7">
        <f ca="1">[1]!b_calc_curve_chinabond("1102",U$1,$B109)</f>
        <v>2.1038000000000001</v>
      </c>
      <c r="V109" s="7">
        <f ca="1">[1]!b_calc_curve_chinabond("1102",V$1,$B109)</f>
        <v>2.1212</v>
      </c>
      <c r="W109" s="7">
        <f ca="1">[1]!b_calc_curve_chinabond("1102",W$1,$B109)</f>
        <v>2.1309999999999998</v>
      </c>
      <c r="X109" s="7">
        <f ca="1">[1]!b_calc_curve_chinabond("1102",X$1,$B109)</f>
        <v>2.1631999999999998</v>
      </c>
      <c r="Y109" s="7">
        <f ca="1">[1]!b_calc_curve_chinabond("1102",Y$1,$B109)</f>
        <v>2.1581000000000001</v>
      </c>
      <c r="Z109" s="7">
        <f ca="1">[1]!b_calc_curve_chinabond("1102",Z$1,$B109)</f>
        <v>0</v>
      </c>
      <c r="AA109" s="7">
        <f ca="1">[1]!b_calc_curve_chinabond("1102",AA$1,$B109)</f>
        <v>0</v>
      </c>
      <c r="AB109" s="7">
        <f ca="1">[1]!b_calc_curve_chinabond("1102",AB$1,$B109)</f>
        <v>2.1547999999999998</v>
      </c>
      <c r="AC109" s="7">
        <f ca="1">[1]!b_calc_curve_chinabond("1102",AC$1,$B109)</f>
        <v>2.1377000000000002</v>
      </c>
      <c r="AD109" s="7">
        <f ca="1">[1]!b_calc_curve_chinabond("1102",AD$1,$B109)</f>
        <v>2.129</v>
      </c>
      <c r="AE109" s="7">
        <f ca="1">[1]!b_calc_curve_chinabond("1102",AE$1,$B109)</f>
        <v>2.1234000000000002</v>
      </c>
      <c r="AF109" s="7">
        <f ca="1">[1]!b_calc_curve_chinabond("1102",AF$1,$B109)</f>
        <v>0</v>
      </c>
      <c r="AG109" s="7">
        <f ca="1">[1]!b_calc_curve_chinabond("1102",AG$1,$B109)</f>
        <v>0</v>
      </c>
      <c r="AH109" s="7">
        <f ca="1">[1]!b_calc_curve_chinabond("1102",AH$1,$B109)</f>
        <v>0</v>
      </c>
      <c r="AI109" s="7">
        <f ca="1">[1]!b_calc_curve_chinabond("1102",AI$1,$B109)</f>
        <v>0</v>
      </c>
    </row>
    <row r="110" spans="1:35" ht="19.5" customHeight="1">
      <c r="A110" s="1" t="s">
        <v>110</v>
      </c>
      <c r="B110" s="2">
        <v>10.199999999999999</v>
      </c>
      <c r="C110" s="7">
        <f ca="1">[1]!b_calc_curve_chinabond("1102",C$1,$B110)</f>
        <v>2.1823999999999999</v>
      </c>
      <c r="D110" s="7">
        <f ca="1">[1]!b_calc_curve_chinabond("1102",D$1,$B110)</f>
        <v>2.1846000000000001</v>
      </c>
      <c r="E110" s="7">
        <f ca="1">[1]!b_calc_curve_chinabond("1102",E$1,$B110)</f>
        <v>0</v>
      </c>
      <c r="F110" s="7">
        <f ca="1">[1]!b_calc_curve_chinabond("1102",F$1,$B110)</f>
        <v>0</v>
      </c>
      <c r="G110" s="7">
        <f ca="1">[1]!b_calc_curve_chinabond("1102",G$1,$B110)</f>
        <v>2.1833999999999998</v>
      </c>
      <c r="H110" s="7">
        <f ca="1">[1]!b_calc_curve_chinabond("1102",H$1,$B110)</f>
        <v>2.1608999999999998</v>
      </c>
      <c r="I110" s="7">
        <f ca="1">[1]!b_calc_curve_chinabond("1102",I$1,$B110)</f>
        <v>2.1539000000000001</v>
      </c>
      <c r="J110" s="7">
        <f ca="1">[1]!b_calc_curve_chinabond("1102",J$1,$B110)</f>
        <v>2.1429</v>
      </c>
      <c r="K110" s="7">
        <f ca="1">[1]!b_calc_curve_chinabond("1102",K$1,$B110)</f>
        <v>2.1240000000000001</v>
      </c>
      <c r="L110" s="7">
        <f ca="1">[1]!b_calc_curve_chinabond("1102",L$1,$B110)</f>
        <v>0</v>
      </c>
      <c r="M110" s="7">
        <f ca="1">[1]!b_calc_curve_chinabond("1102",M$1,$B110)</f>
        <v>0</v>
      </c>
      <c r="N110" s="7">
        <f ca="1">[1]!b_calc_curve_chinabond("1102",N$1,$B110)</f>
        <v>2.1175999999999999</v>
      </c>
      <c r="O110" s="7">
        <f ca="1">[1]!b_calc_curve_chinabond("1102",O$1,$B110)</f>
        <v>2.1036999999999999</v>
      </c>
      <c r="P110" s="7">
        <f ca="1">[1]!b_calc_curve_chinabond("1102",P$1,$B110)</f>
        <v>2.1030000000000002</v>
      </c>
      <c r="Q110" s="7">
        <f ca="1">[1]!b_calc_curve_chinabond("1102",Q$1,$B110)</f>
        <v>2.0918999999999999</v>
      </c>
      <c r="R110" s="7">
        <f ca="1">[1]!b_calc_curve_chinabond("1102",R$1,$B110)</f>
        <v>2.0956000000000001</v>
      </c>
      <c r="S110" s="7">
        <f ca="1">[1]!b_calc_curve_chinabond("1102",S$1,$B110)</f>
        <v>0</v>
      </c>
      <c r="T110" s="7">
        <f ca="1">[1]!b_calc_curve_chinabond("1102",T$1,$B110)</f>
        <v>0</v>
      </c>
      <c r="U110" s="7">
        <f ca="1">[1]!b_calc_curve_chinabond("1102",U$1,$B110)</f>
        <v>2.1063000000000001</v>
      </c>
      <c r="V110" s="7">
        <f ca="1">[1]!b_calc_curve_chinabond("1102",V$1,$B110)</f>
        <v>2.1234000000000002</v>
      </c>
      <c r="W110" s="7">
        <f ca="1">[1]!b_calc_curve_chinabond("1102",W$1,$B110)</f>
        <v>2.1315</v>
      </c>
      <c r="X110" s="7">
        <f ca="1">[1]!b_calc_curve_chinabond("1102",X$1,$B110)</f>
        <v>2.1661999999999999</v>
      </c>
      <c r="Y110" s="7">
        <f ca="1">[1]!b_calc_curve_chinabond("1102",Y$1,$B110)</f>
        <v>2.1597</v>
      </c>
      <c r="Z110" s="7">
        <f ca="1">[1]!b_calc_curve_chinabond("1102",Z$1,$B110)</f>
        <v>0</v>
      </c>
      <c r="AA110" s="7">
        <f ca="1">[1]!b_calc_curve_chinabond("1102",AA$1,$B110)</f>
        <v>0</v>
      </c>
      <c r="AB110" s="7">
        <f ca="1">[1]!b_calc_curve_chinabond("1102",AB$1,$B110)</f>
        <v>2.1568000000000001</v>
      </c>
      <c r="AC110" s="7">
        <f ca="1">[1]!b_calc_curve_chinabond("1102",AC$1,$B110)</f>
        <v>2.1389</v>
      </c>
      <c r="AD110" s="7">
        <f ca="1">[1]!b_calc_curve_chinabond("1102",AD$1,$B110)</f>
        <v>2.1318999999999999</v>
      </c>
      <c r="AE110" s="7">
        <f ca="1">[1]!b_calc_curve_chinabond("1102",AE$1,$B110)</f>
        <v>2.1265999999999998</v>
      </c>
      <c r="AF110" s="7">
        <f ca="1">[1]!b_calc_curve_chinabond("1102",AF$1,$B110)</f>
        <v>0</v>
      </c>
      <c r="AG110" s="7">
        <f ca="1">[1]!b_calc_curve_chinabond("1102",AG$1,$B110)</f>
        <v>0</v>
      </c>
      <c r="AH110" s="7">
        <f ca="1">[1]!b_calc_curve_chinabond("1102",AH$1,$B110)</f>
        <v>0</v>
      </c>
      <c r="AI110" s="7">
        <f ca="1">[1]!b_calc_curve_chinabond("1102",AI$1,$B110)</f>
        <v>0</v>
      </c>
    </row>
    <row r="111" spans="1:35" ht="19.5" customHeight="1">
      <c r="A111" s="3" t="s">
        <v>111</v>
      </c>
      <c r="B111" s="4">
        <v>10.3</v>
      </c>
      <c r="C111" s="7">
        <f ca="1">[1]!b_calc_curve_chinabond("1102",C$1,$B111)</f>
        <v>2.1859999999999999</v>
      </c>
      <c r="D111" s="7">
        <f ca="1">[1]!b_calc_curve_chinabond("1102",D$1,$B111)</f>
        <v>2.1884000000000001</v>
      </c>
      <c r="E111" s="7">
        <f ca="1">[1]!b_calc_curve_chinabond("1102",E$1,$B111)</f>
        <v>0</v>
      </c>
      <c r="F111" s="7">
        <f ca="1">[1]!b_calc_curve_chinabond("1102",F$1,$B111)</f>
        <v>0</v>
      </c>
      <c r="G111" s="7">
        <f ca="1">[1]!b_calc_curve_chinabond("1102",G$1,$B111)</f>
        <v>2.1875</v>
      </c>
      <c r="H111" s="7">
        <f ca="1">[1]!b_calc_curve_chinabond("1102",H$1,$B111)</f>
        <v>2.1638000000000002</v>
      </c>
      <c r="I111" s="7">
        <f ca="1">[1]!b_calc_curve_chinabond("1102",I$1,$B111)</f>
        <v>2.1566999999999998</v>
      </c>
      <c r="J111" s="7">
        <f ca="1">[1]!b_calc_curve_chinabond("1102",J$1,$B111)</f>
        <v>2.1457999999999999</v>
      </c>
      <c r="K111" s="7">
        <f ca="1">[1]!b_calc_curve_chinabond("1102",K$1,$B111)</f>
        <v>2.1257000000000001</v>
      </c>
      <c r="L111" s="7">
        <f ca="1">[1]!b_calc_curve_chinabond("1102",L$1,$B111)</f>
        <v>0</v>
      </c>
      <c r="M111" s="7">
        <f ca="1">[1]!b_calc_curve_chinabond("1102",M$1,$B111)</f>
        <v>0</v>
      </c>
      <c r="N111" s="7">
        <f ca="1">[1]!b_calc_curve_chinabond("1102",N$1,$B111)</f>
        <v>2.1191</v>
      </c>
      <c r="O111" s="7">
        <f ca="1">[1]!b_calc_curve_chinabond("1102",O$1,$B111)</f>
        <v>2.1053000000000002</v>
      </c>
      <c r="P111" s="7">
        <f ca="1">[1]!b_calc_curve_chinabond("1102",P$1,$B111)</f>
        <v>2.1046</v>
      </c>
      <c r="Q111" s="7">
        <f ca="1">[1]!b_calc_curve_chinabond("1102",Q$1,$B111)</f>
        <v>2.0931000000000002</v>
      </c>
      <c r="R111" s="7">
        <f ca="1">[1]!b_calc_curve_chinabond("1102",R$1,$B111)</f>
        <v>2.0981999999999998</v>
      </c>
      <c r="S111" s="7">
        <f ca="1">[1]!b_calc_curve_chinabond("1102",S$1,$B111)</f>
        <v>0</v>
      </c>
      <c r="T111" s="7">
        <f ca="1">[1]!b_calc_curve_chinabond("1102",T$1,$B111)</f>
        <v>0</v>
      </c>
      <c r="U111" s="7">
        <f ca="1">[1]!b_calc_curve_chinabond("1102",U$1,$B111)</f>
        <v>2.1089000000000002</v>
      </c>
      <c r="V111" s="7">
        <f ca="1">[1]!b_calc_curve_chinabond("1102",V$1,$B111)</f>
        <v>2.1257999999999999</v>
      </c>
      <c r="W111" s="7">
        <f ca="1">[1]!b_calc_curve_chinabond("1102",W$1,$B111)</f>
        <v>2.1322999999999999</v>
      </c>
      <c r="X111" s="7">
        <f ca="1">[1]!b_calc_curve_chinabond("1102",X$1,$B111)</f>
        <v>2.1692</v>
      </c>
      <c r="Y111" s="7">
        <f ca="1">[1]!b_calc_curve_chinabond("1102",Y$1,$B111)</f>
        <v>2.1615000000000002</v>
      </c>
      <c r="Z111" s="7">
        <f ca="1">[1]!b_calc_curve_chinabond("1102",Z$1,$B111)</f>
        <v>0</v>
      </c>
      <c r="AA111" s="7">
        <f ca="1">[1]!b_calc_curve_chinabond("1102",AA$1,$B111)</f>
        <v>0</v>
      </c>
      <c r="AB111" s="7">
        <f ca="1">[1]!b_calc_curve_chinabond("1102",AB$1,$B111)</f>
        <v>2.1589</v>
      </c>
      <c r="AC111" s="7">
        <f ca="1">[1]!b_calc_curve_chinabond("1102",AC$1,$B111)</f>
        <v>2.1402999999999999</v>
      </c>
      <c r="AD111" s="7">
        <f ca="1">[1]!b_calc_curve_chinabond("1102",AD$1,$B111)</f>
        <v>2.1347999999999998</v>
      </c>
      <c r="AE111" s="7">
        <f ca="1">[1]!b_calc_curve_chinabond("1102",AE$1,$B111)</f>
        <v>2.1297000000000001</v>
      </c>
      <c r="AF111" s="7">
        <f ca="1">[1]!b_calc_curve_chinabond("1102",AF$1,$B111)</f>
        <v>0</v>
      </c>
      <c r="AG111" s="7">
        <f ca="1">[1]!b_calc_curve_chinabond("1102",AG$1,$B111)</f>
        <v>0</v>
      </c>
      <c r="AH111" s="7">
        <f ca="1">[1]!b_calc_curve_chinabond("1102",AH$1,$B111)</f>
        <v>0</v>
      </c>
      <c r="AI111" s="7">
        <f ca="1">[1]!b_calc_curve_chinabond("1102",AI$1,$B111)</f>
        <v>0</v>
      </c>
    </row>
    <row r="112" spans="1:35" ht="19.5" customHeight="1">
      <c r="A112" s="1" t="s">
        <v>112</v>
      </c>
      <c r="B112" s="2">
        <v>10.4</v>
      </c>
      <c r="C112" s="7">
        <f ca="1">[1]!b_calc_curve_chinabond("1102",C$1,$B112)</f>
        <v>2.1896</v>
      </c>
      <c r="D112" s="7">
        <f ca="1">[1]!b_calc_curve_chinabond("1102",D$1,$B112)</f>
        <v>2.1920999999999999</v>
      </c>
      <c r="E112" s="7">
        <f ca="1">[1]!b_calc_curve_chinabond("1102",E$1,$B112)</f>
        <v>0</v>
      </c>
      <c r="F112" s="7">
        <f ca="1">[1]!b_calc_curve_chinabond("1102",F$1,$B112)</f>
        <v>0</v>
      </c>
      <c r="G112" s="7">
        <f ca="1">[1]!b_calc_curve_chinabond("1102",G$1,$B112)</f>
        <v>2.1916000000000002</v>
      </c>
      <c r="H112" s="7">
        <f ca="1">[1]!b_calc_curve_chinabond("1102",H$1,$B112)</f>
        <v>2.1667999999999998</v>
      </c>
      <c r="I112" s="7">
        <f ca="1">[1]!b_calc_curve_chinabond("1102",I$1,$B112)</f>
        <v>2.1596000000000002</v>
      </c>
      <c r="J112" s="7">
        <f ca="1">[1]!b_calc_curve_chinabond("1102",J$1,$B112)</f>
        <v>2.1488</v>
      </c>
      <c r="K112" s="7">
        <f ca="1">[1]!b_calc_curve_chinabond("1102",K$1,$B112)</f>
        <v>2.1276000000000002</v>
      </c>
      <c r="L112" s="7">
        <f ca="1">[1]!b_calc_curve_chinabond("1102",L$1,$B112)</f>
        <v>0</v>
      </c>
      <c r="M112" s="7">
        <f ca="1">[1]!b_calc_curve_chinabond("1102",M$1,$B112)</f>
        <v>0</v>
      </c>
      <c r="N112" s="7">
        <f ca="1">[1]!b_calc_curve_chinabond("1102",N$1,$B112)</f>
        <v>2.1208</v>
      </c>
      <c r="O112" s="7">
        <f ca="1">[1]!b_calc_curve_chinabond("1102",O$1,$B112)</f>
        <v>2.1071</v>
      </c>
      <c r="P112" s="7">
        <f ca="1">[1]!b_calc_curve_chinabond("1102",P$1,$B112)</f>
        <v>2.1063000000000001</v>
      </c>
      <c r="Q112" s="7">
        <f ca="1">[1]!b_calc_curve_chinabond("1102",Q$1,$B112)</f>
        <v>2.0943999999999998</v>
      </c>
      <c r="R112" s="7">
        <f ca="1">[1]!b_calc_curve_chinabond("1102",R$1,$B112)</f>
        <v>2.1009000000000002</v>
      </c>
      <c r="S112" s="7">
        <f ca="1">[1]!b_calc_curve_chinabond("1102",S$1,$B112)</f>
        <v>0</v>
      </c>
      <c r="T112" s="7">
        <f ca="1">[1]!b_calc_curve_chinabond("1102",T$1,$B112)</f>
        <v>0</v>
      </c>
      <c r="U112" s="7">
        <f ca="1">[1]!b_calc_curve_chinabond("1102",U$1,$B112)</f>
        <v>2.1114999999999999</v>
      </c>
      <c r="V112" s="7">
        <f ca="1">[1]!b_calc_curve_chinabond("1102",V$1,$B112)</f>
        <v>2.1280999999999999</v>
      </c>
      <c r="W112" s="7">
        <f ca="1">[1]!b_calc_curve_chinabond("1102",W$1,$B112)</f>
        <v>2.1332</v>
      </c>
      <c r="X112" s="7">
        <f ca="1">[1]!b_calc_curve_chinabond("1102",X$1,$B112)</f>
        <v>2.1722000000000001</v>
      </c>
      <c r="Y112" s="7">
        <f ca="1">[1]!b_calc_curve_chinabond("1102",Y$1,$B112)</f>
        <v>2.1633</v>
      </c>
      <c r="Z112" s="7">
        <f ca="1">[1]!b_calc_curve_chinabond("1102",Z$1,$B112)</f>
        <v>0</v>
      </c>
      <c r="AA112" s="7">
        <f ca="1">[1]!b_calc_curve_chinabond("1102",AA$1,$B112)</f>
        <v>0</v>
      </c>
      <c r="AB112" s="7">
        <f ca="1">[1]!b_calc_curve_chinabond("1102",AB$1,$B112)</f>
        <v>2.1610999999999998</v>
      </c>
      <c r="AC112" s="7">
        <f ca="1">[1]!b_calc_curve_chinabond("1102",AC$1,$B112)</f>
        <v>2.1417999999999999</v>
      </c>
      <c r="AD112" s="7">
        <f ca="1">[1]!b_calc_curve_chinabond("1102",AD$1,$B112)</f>
        <v>2.1377999999999999</v>
      </c>
      <c r="AE112" s="7">
        <f ca="1">[1]!b_calc_curve_chinabond("1102",AE$1,$B112)</f>
        <v>2.1328</v>
      </c>
      <c r="AF112" s="7">
        <f ca="1">[1]!b_calc_curve_chinabond("1102",AF$1,$B112)</f>
        <v>0</v>
      </c>
      <c r="AG112" s="7">
        <f ca="1">[1]!b_calc_curve_chinabond("1102",AG$1,$B112)</f>
        <v>0</v>
      </c>
      <c r="AH112" s="7">
        <f ca="1">[1]!b_calc_curve_chinabond("1102",AH$1,$B112)</f>
        <v>0</v>
      </c>
      <c r="AI112" s="7">
        <f ca="1">[1]!b_calc_curve_chinabond("1102",AI$1,$B112)</f>
        <v>0</v>
      </c>
    </row>
    <row r="113" spans="1:35" ht="19.5" customHeight="1">
      <c r="A113" s="3" t="s">
        <v>113</v>
      </c>
      <c r="B113" s="4">
        <v>10.5</v>
      </c>
      <c r="C113" s="7">
        <f ca="1">[1]!b_calc_curve_chinabond("1102",C$1,$B113)</f>
        <v>2.1930999999999998</v>
      </c>
      <c r="D113" s="7">
        <f ca="1">[1]!b_calc_curve_chinabond("1102",D$1,$B113)</f>
        <v>2.1958000000000002</v>
      </c>
      <c r="E113" s="7">
        <f ca="1">[1]!b_calc_curve_chinabond("1102",E$1,$B113)</f>
        <v>0</v>
      </c>
      <c r="F113" s="7">
        <f ca="1">[1]!b_calc_curve_chinabond("1102",F$1,$B113)</f>
        <v>0</v>
      </c>
      <c r="G113" s="7">
        <f ca="1">[1]!b_calc_curve_chinabond("1102",G$1,$B113)</f>
        <v>2.1955</v>
      </c>
      <c r="H113" s="7">
        <f ca="1">[1]!b_calc_curve_chinabond("1102",H$1,$B113)</f>
        <v>2.1699000000000002</v>
      </c>
      <c r="I113" s="7">
        <f ca="1">[1]!b_calc_curve_chinabond("1102",I$1,$B113)</f>
        <v>2.1625000000000001</v>
      </c>
      <c r="J113" s="7">
        <f ca="1">[1]!b_calc_curve_chinabond("1102",J$1,$B113)</f>
        <v>2.1518000000000002</v>
      </c>
      <c r="K113" s="7">
        <f ca="1">[1]!b_calc_curve_chinabond("1102",K$1,$B113)</f>
        <v>2.1297000000000001</v>
      </c>
      <c r="L113" s="7">
        <f ca="1">[1]!b_calc_curve_chinabond("1102",L$1,$B113)</f>
        <v>0</v>
      </c>
      <c r="M113" s="7">
        <f ca="1">[1]!b_calc_curve_chinabond("1102",M$1,$B113)</f>
        <v>0</v>
      </c>
      <c r="N113" s="7">
        <f ca="1">[1]!b_calc_curve_chinabond("1102",N$1,$B113)</f>
        <v>2.1227</v>
      </c>
      <c r="O113" s="7">
        <f ca="1">[1]!b_calc_curve_chinabond("1102",O$1,$B113)</f>
        <v>2.109</v>
      </c>
      <c r="P113" s="7">
        <f ca="1">[1]!b_calc_curve_chinabond("1102",P$1,$B113)</f>
        <v>2.1082000000000001</v>
      </c>
      <c r="Q113" s="7">
        <f ca="1">[1]!b_calc_curve_chinabond("1102",Q$1,$B113)</f>
        <v>2.0958999999999999</v>
      </c>
      <c r="R113" s="7">
        <f ca="1">[1]!b_calc_curve_chinabond("1102",R$1,$B113)</f>
        <v>2.1036000000000001</v>
      </c>
      <c r="S113" s="7">
        <f ca="1">[1]!b_calc_curve_chinabond("1102",S$1,$B113)</f>
        <v>0</v>
      </c>
      <c r="T113" s="7">
        <f ca="1">[1]!b_calc_curve_chinabond("1102",T$1,$B113)</f>
        <v>0</v>
      </c>
      <c r="U113" s="7">
        <f ca="1">[1]!b_calc_curve_chinabond("1102",U$1,$B113)</f>
        <v>2.1141999999999999</v>
      </c>
      <c r="V113" s="7">
        <f ca="1">[1]!b_calc_curve_chinabond("1102",V$1,$B113)</f>
        <v>2.1305000000000001</v>
      </c>
      <c r="W113" s="7">
        <f ca="1">[1]!b_calc_curve_chinabond("1102",W$1,$B113)</f>
        <v>2.1343999999999999</v>
      </c>
      <c r="X113" s="7">
        <f ca="1">[1]!b_calc_curve_chinabond("1102",X$1,$B113)</f>
        <v>2.1751999999999998</v>
      </c>
      <c r="Y113" s="7">
        <f ca="1">[1]!b_calc_curve_chinabond("1102",Y$1,$B113)</f>
        <v>2.1652999999999998</v>
      </c>
      <c r="Z113" s="7">
        <f ca="1">[1]!b_calc_curve_chinabond("1102",Z$1,$B113)</f>
        <v>0</v>
      </c>
      <c r="AA113" s="7">
        <f ca="1">[1]!b_calc_curve_chinabond("1102",AA$1,$B113)</f>
        <v>0</v>
      </c>
      <c r="AB113" s="7">
        <f ca="1">[1]!b_calc_curve_chinabond("1102",AB$1,$B113)</f>
        <v>2.1633</v>
      </c>
      <c r="AC113" s="7">
        <f ca="1">[1]!b_calc_curve_chinabond("1102",AC$1,$B113)</f>
        <v>2.1435</v>
      </c>
      <c r="AD113" s="7">
        <f ca="1">[1]!b_calc_curve_chinabond("1102",AD$1,$B113)</f>
        <v>2.1406999999999998</v>
      </c>
      <c r="AE113" s="7">
        <f ca="1">[1]!b_calc_curve_chinabond("1102",AE$1,$B113)</f>
        <v>2.1358999999999999</v>
      </c>
      <c r="AF113" s="7">
        <f ca="1">[1]!b_calc_curve_chinabond("1102",AF$1,$B113)</f>
        <v>0</v>
      </c>
      <c r="AG113" s="7">
        <f ca="1">[1]!b_calc_curve_chinabond("1102",AG$1,$B113)</f>
        <v>0</v>
      </c>
      <c r="AH113" s="7">
        <f ca="1">[1]!b_calc_curve_chinabond("1102",AH$1,$B113)</f>
        <v>0</v>
      </c>
      <c r="AI113" s="7">
        <f ca="1">[1]!b_calc_curve_chinabond("1102",AI$1,$B113)</f>
        <v>0</v>
      </c>
    </row>
    <row r="114" spans="1:35" ht="19.5" customHeight="1">
      <c r="A114" s="1" t="s">
        <v>114</v>
      </c>
      <c r="B114" s="2">
        <v>10.6</v>
      </c>
      <c r="C114" s="7">
        <f ca="1">[1]!b_calc_curve_chinabond("1102",C$1,$B114)</f>
        <v>2.1966000000000001</v>
      </c>
      <c r="D114" s="7">
        <f ca="1">[1]!b_calc_curve_chinabond("1102",D$1,$B114)</f>
        <v>2.1993999999999998</v>
      </c>
      <c r="E114" s="7">
        <f ca="1">[1]!b_calc_curve_chinabond("1102",E$1,$B114)</f>
        <v>0</v>
      </c>
      <c r="F114" s="7">
        <f ca="1">[1]!b_calc_curve_chinabond("1102",F$1,$B114)</f>
        <v>0</v>
      </c>
      <c r="G114" s="7">
        <f ca="1">[1]!b_calc_curve_chinabond("1102",G$1,$B114)</f>
        <v>2.1993999999999998</v>
      </c>
      <c r="H114" s="7">
        <f ca="1">[1]!b_calc_curve_chinabond("1102",H$1,$B114)</f>
        <v>2.173</v>
      </c>
      <c r="I114" s="7">
        <f ca="1">[1]!b_calc_curve_chinabond("1102",I$1,$B114)</f>
        <v>2.1655000000000002</v>
      </c>
      <c r="J114" s="7">
        <f ca="1">[1]!b_calc_curve_chinabond("1102",J$1,$B114)</f>
        <v>2.1549999999999998</v>
      </c>
      <c r="K114" s="7">
        <f ca="1">[1]!b_calc_curve_chinabond("1102",K$1,$B114)</f>
        <v>2.1318999999999999</v>
      </c>
      <c r="L114" s="7">
        <f ca="1">[1]!b_calc_curve_chinabond("1102",L$1,$B114)</f>
        <v>0</v>
      </c>
      <c r="M114" s="7">
        <f ca="1">[1]!b_calc_curve_chinabond("1102",M$1,$B114)</f>
        <v>0</v>
      </c>
      <c r="N114" s="7">
        <f ca="1">[1]!b_calc_curve_chinabond("1102",N$1,$B114)</f>
        <v>2.1246999999999998</v>
      </c>
      <c r="O114" s="7">
        <f ca="1">[1]!b_calc_curve_chinabond("1102",O$1,$B114)</f>
        <v>2.1110000000000002</v>
      </c>
      <c r="P114" s="7">
        <f ca="1">[1]!b_calc_curve_chinabond("1102",P$1,$B114)</f>
        <v>2.1101999999999999</v>
      </c>
      <c r="Q114" s="7">
        <f ca="1">[1]!b_calc_curve_chinabond("1102",Q$1,$B114)</f>
        <v>2.0975999999999999</v>
      </c>
      <c r="R114" s="7">
        <f ca="1">[1]!b_calc_curve_chinabond("1102",R$1,$B114)</f>
        <v>2.1063999999999998</v>
      </c>
      <c r="S114" s="7">
        <f ca="1">[1]!b_calc_curve_chinabond("1102",S$1,$B114)</f>
        <v>0</v>
      </c>
      <c r="T114" s="7">
        <f ca="1">[1]!b_calc_curve_chinabond("1102",T$1,$B114)</f>
        <v>0</v>
      </c>
      <c r="U114" s="7">
        <f ca="1">[1]!b_calc_curve_chinabond("1102",U$1,$B114)</f>
        <v>2.117</v>
      </c>
      <c r="V114" s="7">
        <f ca="1">[1]!b_calc_curve_chinabond("1102",V$1,$B114)</f>
        <v>2.133</v>
      </c>
      <c r="W114" s="7">
        <f ca="1">[1]!b_calc_curve_chinabond("1102",W$1,$B114)</f>
        <v>2.1356999999999999</v>
      </c>
      <c r="X114" s="7">
        <f ca="1">[1]!b_calc_curve_chinabond("1102",X$1,$B114)</f>
        <v>2.1781000000000001</v>
      </c>
      <c r="Y114" s="7">
        <f ca="1">[1]!b_calc_curve_chinabond("1102",Y$1,$B114)</f>
        <v>2.1674000000000002</v>
      </c>
      <c r="Z114" s="7">
        <f ca="1">[1]!b_calc_curve_chinabond("1102",Z$1,$B114)</f>
        <v>0</v>
      </c>
      <c r="AA114" s="7">
        <f ca="1">[1]!b_calc_curve_chinabond("1102",AA$1,$B114)</f>
        <v>0</v>
      </c>
      <c r="AB114" s="7">
        <f ca="1">[1]!b_calc_curve_chinabond("1102",AB$1,$B114)</f>
        <v>2.1657000000000002</v>
      </c>
      <c r="AC114" s="7">
        <f ca="1">[1]!b_calc_curve_chinabond("1102",AC$1,$B114)</f>
        <v>2.1454</v>
      </c>
      <c r="AD114" s="7">
        <f ca="1">[1]!b_calc_curve_chinabond("1102",AD$1,$B114)</f>
        <v>2.1436999999999999</v>
      </c>
      <c r="AE114" s="7">
        <f ca="1">[1]!b_calc_curve_chinabond("1102",AE$1,$B114)</f>
        <v>2.1389999999999998</v>
      </c>
      <c r="AF114" s="7">
        <f ca="1">[1]!b_calc_curve_chinabond("1102",AF$1,$B114)</f>
        <v>0</v>
      </c>
      <c r="AG114" s="7">
        <f ca="1">[1]!b_calc_curve_chinabond("1102",AG$1,$B114)</f>
        <v>0</v>
      </c>
      <c r="AH114" s="7">
        <f ca="1">[1]!b_calc_curve_chinabond("1102",AH$1,$B114)</f>
        <v>0</v>
      </c>
      <c r="AI114" s="7">
        <f ca="1">[1]!b_calc_curve_chinabond("1102",AI$1,$B114)</f>
        <v>0</v>
      </c>
    </row>
    <row r="115" spans="1:35" ht="19.5" customHeight="1">
      <c r="A115" s="3" t="s">
        <v>115</v>
      </c>
      <c r="B115" s="4">
        <v>10.7</v>
      </c>
      <c r="C115" s="7">
        <f ca="1">[1]!b_calc_curve_chinabond("1102",C$1,$B115)</f>
        <v>2.2000000000000002</v>
      </c>
      <c r="D115" s="7">
        <f ca="1">[1]!b_calc_curve_chinabond("1102",D$1,$B115)</f>
        <v>2.2029999999999998</v>
      </c>
      <c r="E115" s="7">
        <f ca="1">[1]!b_calc_curve_chinabond("1102",E$1,$B115)</f>
        <v>0</v>
      </c>
      <c r="F115" s="7">
        <f ca="1">[1]!b_calc_curve_chinabond("1102",F$1,$B115)</f>
        <v>0</v>
      </c>
      <c r="G115" s="7">
        <f ca="1">[1]!b_calc_curve_chinabond("1102",G$1,$B115)</f>
        <v>2.2031000000000001</v>
      </c>
      <c r="H115" s="7">
        <f ca="1">[1]!b_calc_curve_chinabond("1102",H$1,$B115)</f>
        <v>2.1760999999999999</v>
      </c>
      <c r="I115" s="7">
        <f ca="1">[1]!b_calc_curve_chinabond("1102",I$1,$B115)</f>
        <v>2.1686000000000001</v>
      </c>
      <c r="J115" s="7">
        <f ca="1">[1]!b_calc_curve_chinabond("1102",J$1,$B115)</f>
        <v>2.1581000000000001</v>
      </c>
      <c r="K115" s="7">
        <f ca="1">[1]!b_calc_curve_chinabond("1102",K$1,$B115)</f>
        <v>2.1341999999999999</v>
      </c>
      <c r="L115" s="7">
        <f ca="1">[1]!b_calc_curve_chinabond("1102",L$1,$B115)</f>
        <v>0</v>
      </c>
      <c r="M115" s="7">
        <f ca="1">[1]!b_calc_curve_chinabond("1102",M$1,$B115)</f>
        <v>0</v>
      </c>
      <c r="N115" s="7">
        <f ca="1">[1]!b_calc_curve_chinabond("1102",N$1,$B115)</f>
        <v>2.1267999999999998</v>
      </c>
      <c r="O115" s="7">
        <f ca="1">[1]!b_calc_curve_chinabond("1102",O$1,$B115)</f>
        <v>2.1132</v>
      </c>
      <c r="P115" s="7">
        <f ca="1">[1]!b_calc_curve_chinabond("1102",P$1,$B115)</f>
        <v>2.1124000000000001</v>
      </c>
      <c r="Q115" s="7">
        <f ca="1">[1]!b_calc_curve_chinabond("1102",Q$1,$B115)</f>
        <v>2.0994999999999999</v>
      </c>
      <c r="R115" s="7">
        <f ca="1">[1]!b_calc_curve_chinabond("1102",R$1,$B115)</f>
        <v>2.1093000000000002</v>
      </c>
      <c r="S115" s="7">
        <f ca="1">[1]!b_calc_curve_chinabond("1102",S$1,$B115)</f>
        <v>0</v>
      </c>
      <c r="T115" s="7">
        <f ca="1">[1]!b_calc_curve_chinabond("1102",T$1,$B115)</f>
        <v>0</v>
      </c>
      <c r="U115" s="7">
        <f ca="1">[1]!b_calc_curve_chinabond("1102",U$1,$B115)</f>
        <v>2.1198000000000001</v>
      </c>
      <c r="V115" s="7">
        <f ca="1">[1]!b_calc_curve_chinabond("1102",V$1,$B115)</f>
        <v>2.1356000000000002</v>
      </c>
      <c r="W115" s="7">
        <f ca="1">[1]!b_calc_curve_chinabond("1102",W$1,$B115)</f>
        <v>2.1372</v>
      </c>
      <c r="X115" s="7">
        <f ca="1">[1]!b_calc_curve_chinabond("1102",X$1,$B115)</f>
        <v>2.1810999999999998</v>
      </c>
      <c r="Y115" s="7">
        <f ca="1">[1]!b_calc_curve_chinabond("1102",Y$1,$B115)</f>
        <v>2.1696</v>
      </c>
      <c r="Z115" s="7">
        <f ca="1">[1]!b_calc_curve_chinabond("1102",Z$1,$B115)</f>
        <v>0</v>
      </c>
      <c r="AA115" s="7">
        <f ca="1">[1]!b_calc_curve_chinabond("1102",AA$1,$B115)</f>
        <v>0</v>
      </c>
      <c r="AB115" s="7">
        <f ca="1">[1]!b_calc_curve_chinabond("1102",AB$1,$B115)</f>
        <v>2.1680999999999999</v>
      </c>
      <c r="AC115" s="7">
        <f ca="1">[1]!b_calc_curve_chinabond("1102",AC$1,$B115)</f>
        <v>2.1474000000000002</v>
      </c>
      <c r="AD115" s="7">
        <f ca="1">[1]!b_calc_curve_chinabond("1102",AD$1,$B115)</f>
        <v>2.1465999999999998</v>
      </c>
      <c r="AE115" s="7">
        <f ca="1">[1]!b_calc_curve_chinabond("1102",AE$1,$B115)</f>
        <v>2.1419999999999999</v>
      </c>
      <c r="AF115" s="7">
        <f ca="1">[1]!b_calc_curve_chinabond("1102",AF$1,$B115)</f>
        <v>0</v>
      </c>
      <c r="AG115" s="7">
        <f ca="1">[1]!b_calc_curve_chinabond("1102",AG$1,$B115)</f>
        <v>0</v>
      </c>
      <c r="AH115" s="7">
        <f ca="1">[1]!b_calc_curve_chinabond("1102",AH$1,$B115)</f>
        <v>0</v>
      </c>
      <c r="AI115" s="7">
        <f ca="1">[1]!b_calc_curve_chinabond("1102",AI$1,$B115)</f>
        <v>0</v>
      </c>
    </row>
    <row r="116" spans="1:35" ht="19.5" customHeight="1">
      <c r="A116" s="1" t="s">
        <v>116</v>
      </c>
      <c r="B116" s="2">
        <v>10.8</v>
      </c>
      <c r="C116" s="7">
        <f ca="1">[1]!b_calc_curve_chinabond("1102",C$1,$B116)</f>
        <v>2.2033999999999998</v>
      </c>
      <c r="D116" s="7">
        <f ca="1">[1]!b_calc_curve_chinabond("1102",D$1,$B116)</f>
        <v>2.2065000000000001</v>
      </c>
      <c r="E116" s="7">
        <f ca="1">[1]!b_calc_curve_chinabond("1102",E$1,$B116)</f>
        <v>0</v>
      </c>
      <c r="F116" s="7">
        <f ca="1">[1]!b_calc_curve_chinabond("1102",F$1,$B116)</f>
        <v>0</v>
      </c>
      <c r="G116" s="7">
        <f ca="1">[1]!b_calc_curve_chinabond("1102",G$1,$B116)</f>
        <v>2.2067999999999999</v>
      </c>
      <c r="H116" s="7">
        <f ca="1">[1]!b_calc_curve_chinabond("1102",H$1,$B116)</f>
        <v>2.1793</v>
      </c>
      <c r="I116" s="7">
        <f ca="1">[1]!b_calc_curve_chinabond("1102",I$1,$B116)</f>
        <v>2.1718000000000002</v>
      </c>
      <c r="J116" s="7">
        <f ca="1">[1]!b_calc_curve_chinabond("1102",J$1,$B116)</f>
        <v>2.1614</v>
      </c>
      <c r="K116" s="7">
        <f ca="1">[1]!b_calc_curve_chinabond("1102",K$1,$B116)</f>
        <v>2.1366999999999998</v>
      </c>
      <c r="L116" s="7">
        <f ca="1">[1]!b_calc_curve_chinabond("1102",L$1,$B116)</f>
        <v>0</v>
      </c>
      <c r="M116" s="7">
        <f ca="1">[1]!b_calc_curve_chinabond("1102",M$1,$B116)</f>
        <v>0</v>
      </c>
      <c r="N116" s="7">
        <f ca="1">[1]!b_calc_curve_chinabond("1102",N$1,$B116)</f>
        <v>2.1291000000000002</v>
      </c>
      <c r="O116" s="7">
        <f ca="1">[1]!b_calc_curve_chinabond("1102",O$1,$B116)</f>
        <v>2.1154999999999999</v>
      </c>
      <c r="P116" s="7">
        <f ca="1">[1]!b_calc_curve_chinabond("1102",P$1,$B116)</f>
        <v>2.1147</v>
      </c>
      <c r="Q116" s="7">
        <f ca="1">[1]!b_calc_curve_chinabond("1102",Q$1,$B116)</f>
        <v>2.1015999999999999</v>
      </c>
      <c r="R116" s="7">
        <f ca="1">[1]!b_calc_curve_chinabond("1102",R$1,$B116)</f>
        <v>2.1120999999999999</v>
      </c>
      <c r="S116" s="7">
        <f ca="1">[1]!b_calc_curve_chinabond("1102",S$1,$B116)</f>
        <v>0</v>
      </c>
      <c r="T116" s="7">
        <f ca="1">[1]!b_calc_curve_chinabond("1102",T$1,$B116)</f>
        <v>0</v>
      </c>
      <c r="U116" s="7">
        <f ca="1">[1]!b_calc_curve_chinabond("1102",U$1,$B116)</f>
        <v>2.1225999999999998</v>
      </c>
      <c r="V116" s="7">
        <f ca="1">[1]!b_calc_curve_chinabond("1102",V$1,$B116)</f>
        <v>2.1381000000000001</v>
      </c>
      <c r="W116" s="7">
        <f ca="1">[1]!b_calc_curve_chinabond("1102",W$1,$B116)</f>
        <v>2.1389</v>
      </c>
      <c r="X116" s="7">
        <f ca="1">[1]!b_calc_curve_chinabond("1102",X$1,$B116)</f>
        <v>2.1840000000000002</v>
      </c>
      <c r="Y116" s="7">
        <f ca="1">[1]!b_calc_curve_chinabond("1102",Y$1,$B116)</f>
        <v>2.1718999999999999</v>
      </c>
      <c r="Z116" s="7">
        <f ca="1">[1]!b_calc_curve_chinabond("1102",Z$1,$B116)</f>
        <v>0</v>
      </c>
      <c r="AA116" s="7">
        <f ca="1">[1]!b_calc_curve_chinabond("1102",AA$1,$B116)</f>
        <v>0</v>
      </c>
      <c r="AB116" s="7">
        <f ca="1">[1]!b_calc_curve_chinabond("1102",AB$1,$B116)</f>
        <v>2.1705999999999999</v>
      </c>
      <c r="AC116" s="7">
        <f ca="1">[1]!b_calc_curve_chinabond("1102",AC$1,$B116)</f>
        <v>2.1495000000000002</v>
      </c>
      <c r="AD116" s="7">
        <f ca="1">[1]!b_calc_curve_chinabond("1102",AD$1,$B116)</f>
        <v>2.1496</v>
      </c>
      <c r="AE116" s="7">
        <f ca="1">[1]!b_calc_curve_chinabond("1102",AE$1,$B116)</f>
        <v>2.1450999999999998</v>
      </c>
      <c r="AF116" s="7">
        <f ca="1">[1]!b_calc_curve_chinabond("1102",AF$1,$B116)</f>
        <v>0</v>
      </c>
      <c r="AG116" s="7">
        <f ca="1">[1]!b_calc_curve_chinabond("1102",AG$1,$B116)</f>
        <v>0</v>
      </c>
      <c r="AH116" s="7">
        <f ca="1">[1]!b_calc_curve_chinabond("1102",AH$1,$B116)</f>
        <v>0</v>
      </c>
      <c r="AI116" s="7">
        <f ca="1">[1]!b_calc_curve_chinabond("1102",AI$1,$B116)</f>
        <v>0</v>
      </c>
    </row>
    <row r="117" spans="1:35" ht="19.5" customHeight="1">
      <c r="A117" s="3" t="s">
        <v>117</v>
      </c>
      <c r="B117" s="4">
        <v>10.9</v>
      </c>
      <c r="C117" s="7">
        <f ca="1">[1]!b_calc_curve_chinabond("1102",C$1,$B117)</f>
        <v>2.2067000000000001</v>
      </c>
      <c r="D117" s="7">
        <f ca="1">[1]!b_calc_curve_chinabond("1102",D$1,$B117)</f>
        <v>2.21</v>
      </c>
      <c r="E117" s="7">
        <f ca="1">[1]!b_calc_curve_chinabond("1102",E$1,$B117)</f>
        <v>0</v>
      </c>
      <c r="F117" s="7">
        <f ca="1">[1]!b_calc_curve_chinabond("1102",F$1,$B117)</f>
        <v>0</v>
      </c>
      <c r="G117" s="7">
        <f ca="1">[1]!b_calc_curve_chinabond("1102",G$1,$B117)</f>
        <v>2.2103999999999999</v>
      </c>
      <c r="H117" s="7">
        <f ca="1">[1]!b_calc_curve_chinabond("1102",H$1,$B117)</f>
        <v>2.1825000000000001</v>
      </c>
      <c r="I117" s="7">
        <f ca="1">[1]!b_calc_curve_chinabond("1102",I$1,$B117)</f>
        <v>2.1749999999999998</v>
      </c>
      <c r="J117" s="7">
        <f ca="1">[1]!b_calc_curve_chinabond("1102",J$1,$B117)</f>
        <v>2.1646999999999998</v>
      </c>
      <c r="K117" s="7">
        <f ca="1">[1]!b_calc_curve_chinabond("1102",K$1,$B117)</f>
        <v>2.1393</v>
      </c>
      <c r="L117" s="7">
        <f ca="1">[1]!b_calc_curve_chinabond("1102",L$1,$B117)</f>
        <v>0</v>
      </c>
      <c r="M117" s="7">
        <f ca="1">[1]!b_calc_curve_chinabond("1102",M$1,$B117)</f>
        <v>0</v>
      </c>
      <c r="N117" s="7">
        <f ca="1">[1]!b_calc_curve_chinabond("1102",N$1,$B117)</f>
        <v>2.1315</v>
      </c>
      <c r="O117" s="7">
        <f ca="1">[1]!b_calc_curve_chinabond("1102",O$1,$B117)</f>
        <v>2.1179000000000001</v>
      </c>
      <c r="P117" s="7">
        <f ca="1">[1]!b_calc_curve_chinabond("1102",P$1,$B117)</f>
        <v>2.1171000000000002</v>
      </c>
      <c r="Q117" s="7">
        <f ca="1">[1]!b_calc_curve_chinabond("1102",Q$1,$B117)</f>
        <v>2.1038000000000001</v>
      </c>
      <c r="R117" s="7">
        <f ca="1">[1]!b_calc_curve_chinabond("1102",R$1,$B117)</f>
        <v>2.1151</v>
      </c>
      <c r="S117" s="7">
        <f ca="1">[1]!b_calc_curve_chinabond("1102",S$1,$B117)</f>
        <v>0</v>
      </c>
      <c r="T117" s="7">
        <f ca="1">[1]!b_calc_curve_chinabond("1102",T$1,$B117)</f>
        <v>0</v>
      </c>
      <c r="U117" s="7">
        <f ca="1">[1]!b_calc_curve_chinabond("1102",U$1,$B117)</f>
        <v>2.1255000000000002</v>
      </c>
      <c r="V117" s="7">
        <f ca="1">[1]!b_calc_curve_chinabond("1102",V$1,$B117)</f>
        <v>2.1408</v>
      </c>
      <c r="W117" s="7">
        <f ca="1">[1]!b_calc_curve_chinabond("1102",W$1,$B117)</f>
        <v>2.1406999999999998</v>
      </c>
      <c r="X117" s="7">
        <f ca="1">[1]!b_calc_curve_chinabond("1102",X$1,$B117)</f>
        <v>2.1869000000000001</v>
      </c>
      <c r="Y117" s="7">
        <f ca="1">[1]!b_calc_curve_chinabond("1102",Y$1,$B117)</f>
        <v>2.1743999999999999</v>
      </c>
      <c r="Z117" s="7">
        <f ca="1">[1]!b_calc_curve_chinabond("1102",Z$1,$B117)</f>
        <v>0</v>
      </c>
      <c r="AA117" s="7">
        <f ca="1">[1]!b_calc_curve_chinabond("1102",AA$1,$B117)</f>
        <v>0</v>
      </c>
      <c r="AB117" s="7">
        <f ca="1">[1]!b_calc_curve_chinabond("1102",AB$1,$B117)</f>
        <v>2.1732</v>
      </c>
      <c r="AC117" s="7">
        <f ca="1">[1]!b_calc_curve_chinabond("1102",AC$1,$B117)</f>
        <v>2.1518000000000002</v>
      </c>
      <c r="AD117" s="7">
        <f ca="1">[1]!b_calc_curve_chinabond("1102",AD$1,$B117)</f>
        <v>2.1526000000000001</v>
      </c>
      <c r="AE117" s="7">
        <f ca="1">[1]!b_calc_curve_chinabond("1102",AE$1,$B117)</f>
        <v>2.1480999999999999</v>
      </c>
      <c r="AF117" s="7">
        <f ca="1">[1]!b_calc_curve_chinabond("1102",AF$1,$B117)</f>
        <v>0</v>
      </c>
      <c r="AG117" s="7">
        <f ca="1">[1]!b_calc_curve_chinabond("1102",AG$1,$B117)</f>
        <v>0</v>
      </c>
      <c r="AH117" s="7">
        <f ca="1">[1]!b_calc_curve_chinabond("1102",AH$1,$B117)</f>
        <v>0</v>
      </c>
      <c r="AI117" s="7">
        <f ca="1">[1]!b_calc_curve_chinabond("1102",AI$1,$B117)</f>
        <v>0</v>
      </c>
    </row>
    <row r="118" spans="1:35" ht="19.5" customHeight="1">
      <c r="A118" s="1" t="s">
        <v>118</v>
      </c>
      <c r="B118" s="2">
        <v>11</v>
      </c>
      <c r="C118" s="7">
        <f ca="1">[1]!b_calc_curve_chinabond("1102",C$1,$B118)</f>
        <v>2.21</v>
      </c>
      <c r="D118" s="7">
        <f ca="1">[1]!b_calc_curve_chinabond("1102",D$1,$B118)</f>
        <v>2.2134</v>
      </c>
      <c r="E118" s="7">
        <f ca="1">[1]!b_calc_curve_chinabond("1102",E$1,$B118)</f>
        <v>0</v>
      </c>
      <c r="F118" s="7">
        <f ca="1">[1]!b_calc_curve_chinabond("1102",F$1,$B118)</f>
        <v>0</v>
      </c>
      <c r="G118" s="7">
        <f ca="1">[1]!b_calc_curve_chinabond("1102",G$1,$B118)</f>
        <v>2.2139000000000002</v>
      </c>
      <c r="H118" s="7">
        <f ca="1">[1]!b_calc_curve_chinabond("1102",H$1,$B118)</f>
        <v>2.1858</v>
      </c>
      <c r="I118" s="7">
        <f ca="1">[1]!b_calc_curve_chinabond("1102",I$1,$B118)</f>
        <v>2.1783000000000001</v>
      </c>
      <c r="J118" s="7">
        <f ca="1">[1]!b_calc_curve_chinabond("1102",J$1,$B118)</f>
        <v>2.1680000000000001</v>
      </c>
      <c r="K118" s="7">
        <f ca="1">[1]!b_calc_curve_chinabond("1102",K$1,$B118)</f>
        <v>2.1421000000000001</v>
      </c>
      <c r="L118" s="7">
        <f ca="1">[1]!b_calc_curve_chinabond("1102",L$1,$B118)</f>
        <v>0</v>
      </c>
      <c r="M118" s="7">
        <f ca="1">[1]!b_calc_curve_chinabond("1102",M$1,$B118)</f>
        <v>0</v>
      </c>
      <c r="N118" s="7">
        <f ca="1">[1]!b_calc_curve_chinabond("1102",N$1,$B118)</f>
        <v>2.1341000000000001</v>
      </c>
      <c r="O118" s="7">
        <f ca="1">[1]!b_calc_curve_chinabond("1102",O$1,$B118)</f>
        <v>2.1204000000000001</v>
      </c>
      <c r="P118" s="7">
        <f ca="1">[1]!b_calc_curve_chinabond("1102",P$1,$B118)</f>
        <v>2.1196000000000002</v>
      </c>
      <c r="Q118" s="7">
        <f ca="1">[1]!b_calc_curve_chinabond("1102",Q$1,$B118)</f>
        <v>2.1061999999999999</v>
      </c>
      <c r="R118" s="7">
        <f ca="1">[1]!b_calc_curve_chinabond("1102",R$1,$B118)</f>
        <v>2.1179999999999999</v>
      </c>
      <c r="S118" s="7">
        <f ca="1">[1]!b_calc_curve_chinabond("1102",S$1,$B118)</f>
        <v>0</v>
      </c>
      <c r="T118" s="7">
        <f ca="1">[1]!b_calc_curve_chinabond("1102",T$1,$B118)</f>
        <v>0</v>
      </c>
      <c r="U118" s="7">
        <f ca="1">[1]!b_calc_curve_chinabond("1102",U$1,$B118)</f>
        <v>2.1284000000000001</v>
      </c>
      <c r="V118" s="7">
        <f ca="1">[1]!b_calc_curve_chinabond("1102",V$1,$B118)</f>
        <v>2.1434000000000002</v>
      </c>
      <c r="W118" s="7">
        <f ca="1">[1]!b_calc_curve_chinabond("1102",W$1,$B118)</f>
        <v>2.1427</v>
      </c>
      <c r="X118" s="7">
        <f ca="1">[1]!b_calc_curve_chinabond("1102",X$1,$B118)</f>
        <v>2.1898</v>
      </c>
      <c r="Y118" s="7">
        <f ca="1">[1]!b_calc_curve_chinabond("1102",Y$1,$B118)</f>
        <v>2.1768999999999998</v>
      </c>
      <c r="Z118" s="7">
        <f ca="1">[1]!b_calc_curve_chinabond("1102",Z$1,$B118)</f>
        <v>0</v>
      </c>
      <c r="AA118" s="7">
        <f ca="1">[1]!b_calc_curve_chinabond("1102",AA$1,$B118)</f>
        <v>0</v>
      </c>
      <c r="AB118" s="7">
        <f ca="1">[1]!b_calc_curve_chinabond("1102",AB$1,$B118)</f>
        <v>2.1758000000000002</v>
      </c>
      <c r="AC118" s="7">
        <f ca="1">[1]!b_calc_curve_chinabond("1102",AC$1,$B118)</f>
        <v>2.1541999999999999</v>
      </c>
      <c r="AD118" s="7">
        <f ca="1">[1]!b_calc_curve_chinabond("1102",AD$1,$B118)</f>
        <v>2.1556000000000002</v>
      </c>
      <c r="AE118" s="7">
        <f ca="1">[1]!b_calc_curve_chinabond("1102",AE$1,$B118)</f>
        <v>2.1509999999999998</v>
      </c>
      <c r="AF118" s="7">
        <f ca="1">[1]!b_calc_curve_chinabond("1102",AF$1,$B118)</f>
        <v>0</v>
      </c>
      <c r="AG118" s="7">
        <f ca="1">[1]!b_calc_curve_chinabond("1102",AG$1,$B118)</f>
        <v>0</v>
      </c>
      <c r="AH118" s="7">
        <f ca="1">[1]!b_calc_curve_chinabond("1102",AH$1,$B118)</f>
        <v>0</v>
      </c>
      <c r="AI118" s="7">
        <f ca="1">[1]!b_calc_curve_chinabond("1102",AI$1,$B118)</f>
        <v>0</v>
      </c>
    </row>
    <row r="119" spans="1:35" ht="19.5" customHeight="1">
      <c r="A119" s="3" t="s">
        <v>119</v>
      </c>
      <c r="B119" s="4">
        <v>11.1</v>
      </c>
      <c r="C119" s="7">
        <f ca="1">[1]!b_calc_curve_chinabond("1102",C$1,$B119)</f>
        <v>2.2132999999999998</v>
      </c>
      <c r="D119" s="7">
        <f ca="1">[1]!b_calc_curve_chinabond("1102",D$1,$B119)</f>
        <v>2.2168000000000001</v>
      </c>
      <c r="E119" s="7">
        <f ca="1">[1]!b_calc_curve_chinabond("1102",E$1,$B119)</f>
        <v>0</v>
      </c>
      <c r="F119" s="7">
        <f ca="1">[1]!b_calc_curve_chinabond("1102",F$1,$B119)</f>
        <v>0</v>
      </c>
      <c r="G119" s="7">
        <f ca="1">[1]!b_calc_curve_chinabond("1102",G$1,$B119)</f>
        <v>2.2174</v>
      </c>
      <c r="H119" s="7">
        <f ca="1">[1]!b_calc_curve_chinabond("1102",H$1,$B119)</f>
        <v>2.1890999999999998</v>
      </c>
      <c r="I119" s="7">
        <f ca="1">[1]!b_calc_curve_chinabond("1102",I$1,$B119)</f>
        <v>2.1816</v>
      </c>
      <c r="J119" s="7">
        <f ca="1">[1]!b_calc_curve_chinabond("1102",J$1,$B119)</f>
        <v>2.1714000000000002</v>
      </c>
      <c r="K119" s="7">
        <f ca="1">[1]!b_calc_curve_chinabond("1102",K$1,$B119)</f>
        <v>2.145</v>
      </c>
      <c r="L119" s="7">
        <f ca="1">[1]!b_calc_curve_chinabond("1102",L$1,$B119)</f>
        <v>0</v>
      </c>
      <c r="M119" s="7">
        <f ca="1">[1]!b_calc_curve_chinabond("1102",M$1,$B119)</f>
        <v>0</v>
      </c>
      <c r="N119" s="7">
        <f ca="1">[1]!b_calc_curve_chinabond("1102",N$1,$B119)</f>
        <v>2.1368</v>
      </c>
      <c r="O119" s="7">
        <f ca="1">[1]!b_calc_curve_chinabond("1102",O$1,$B119)</f>
        <v>2.1230000000000002</v>
      </c>
      <c r="P119" s="7">
        <f ca="1">[1]!b_calc_curve_chinabond("1102",P$1,$B119)</f>
        <v>2.1221999999999999</v>
      </c>
      <c r="Q119" s="7">
        <f ca="1">[1]!b_calc_curve_chinabond("1102",Q$1,$B119)</f>
        <v>2.1086999999999998</v>
      </c>
      <c r="R119" s="7">
        <f ca="1">[1]!b_calc_curve_chinabond("1102",R$1,$B119)</f>
        <v>2.121</v>
      </c>
      <c r="S119" s="7">
        <f ca="1">[1]!b_calc_curve_chinabond("1102",S$1,$B119)</f>
        <v>0</v>
      </c>
      <c r="T119" s="7">
        <f ca="1">[1]!b_calc_curve_chinabond("1102",T$1,$B119)</f>
        <v>0</v>
      </c>
      <c r="U119" s="7">
        <f ca="1">[1]!b_calc_curve_chinabond("1102",U$1,$B119)</f>
        <v>2.1314000000000002</v>
      </c>
      <c r="V119" s="7">
        <f ca="1">[1]!b_calc_curve_chinabond("1102",V$1,$B119)</f>
        <v>2.1461999999999999</v>
      </c>
      <c r="W119" s="7">
        <f ca="1">[1]!b_calc_curve_chinabond("1102",W$1,$B119)</f>
        <v>2.1448</v>
      </c>
      <c r="X119" s="7">
        <f ca="1">[1]!b_calc_curve_chinabond("1102",X$1,$B119)</f>
        <v>2.1928000000000001</v>
      </c>
      <c r="Y119" s="7">
        <f ca="1">[1]!b_calc_curve_chinabond("1102",Y$1,$B119)</f>
        <v>2.1795</v>
      </c>
      <c r="Z119" s="7">
        <f ca="1">[1]!b_calc_curve_chinabond("1102",Z$1,$B119)</f>
        <v>0</v>
      </c>
      <c r="AA119" s="7">
        <f ca="1">[1]!b_calc_curve_chinabond("1102",AA$1,$B119)</f>
        <v>0</v>
      </c>
      <c r="AB119" s="7">
        <f ca="1">[1]!b_calc_curve_chinabond("1102",AB$1,$B119)</f>
        <v>2.1785000000000001</v>
      </c>
      <c r="AC119" s="7">
        <f ca="1">[1]!b_calc_curve_chinabond("1102",AC$1,$B119)</f>
        <v>2.1566999999999998</v>
      </c>
      <c r="AD119" s="7">
        <f ca="1">[1]!b_calc_curve_chinabond("1102",AD$1,$B119)</f>
        <v>2.1585999999999999</v>
      </c>
      <c r="AE119" s="7">
        <f ca="1">[1]!b_calc_curve_chinabond("1102",AE$1,$B119)</f>
        <v>2.1539999999999999</v>
      </c>
      <c r="AF119" s="7">
        <f ca="1">[1]!b_calc_curve_chinabond("1102",AF$1,$B119)</f>
        <v>0</v>
      </c>
      <c r="AG119" s="7">
        <f ca="1">[1]!b_calc_curve_chinabond("1102",AG$1,$B119)</f>
        <v>0</v>
      </c>
      <c r="AH119" s="7">
        <f ca="1">[1]!b_calc_curve_chinabond("1102",AH$1,$B119)</f>
        <v>0</v>
      </c>
      <c r="AI119" s="7">
        <f ca="1">[1]!b_calc_curve_chinabond("1102",AI$1,$B119)</f>
        <v>0</v>
      </c>
    </row>
    <row r="120" spans="1:35" ht="19.5" customHeight="1">
      <c r="A120" s="1" t="s">
        <v>120</v>
      </c>
      <c r="B120" s="2">
        <v>11.2</v>
      </c>
      <c r="C120" s="7">
        <f ca="1">[1]!b_calc_curve_chinabond("1102",C$1,$B120)</f>
        <v>2.2164999999999999</v>
      </c>
      <c r="D120" s="7">
        <f ca="1">[1]!b_calc_curve_chinabond("1102",D$1,$B120)</f>
        <v>2.2202000000000002</v>
      </c>
      <c r="E120" s="7">
        <f ca="1">[1]!b_calc_curve_chinabond("1102",E$1,$B120)</f>
        <v>0</v>
      </c>
      <c r="F120" s="7">
        <f ca="1">[1]!b_calc_curve_chinabond("1102",F$1,$B120)</f>
        <v>0</v>
      </c>
      <c r="G120" s="7">
        <f ca="1">[1]!b_calc_curve_chinabond("1102",G$1,$B120)</f>
        <v>2.2206999999999999</v>
      </c>
      <c r="H120" s="7">
        <f ca="1">[1]!b_calc_curve_chinabond("1102",H$1,$B120)</f>
        <v>2.1924000000000001</v>
      </c>
      <c r="I120" s="7">
        <f ca="1">[1]!b_calc_curve_chinabond("1102",I$1,$B120)</f>
        <v>2.1850000000000001</v>
      </c>
      <c r="J120" s="7">
        <f ca="1">[1]!b_calc_curve_chinabond("1102",J$1,$B120)</f>
        <v>2.1749000000000001</v>
      </c>
      <c r="K120" s="7">
        <f ca="1">[1]!b_calc_curve_chinabond("1102",K$1,$B120)</f>
        <v>2.1480000000000001</v>
      </c>
      <c r="L120" s="7">
        <f ca="1">[1]!b_calc_curve_chinabond("1102",L$1,$B120)</f>
        <v>0</v>
      </c>
      <c r="M120" s="7">
        <f ca="1">[1]!b_calc_curve_chinabond("1102",M$1,$B120)</f>
        <v>0</v>
      </c>
      <c r="N120" s="7">
        <f ca="1">[1]!b_calc_curve_chinabond("1102",N$1,$B120)</f>
        <v>2.1396000000000002</v>
      </c>
      <c r="O120" s="7">
        <f ca="1">[1]!b_calc_curve_chinabond("1102",O$1,$B120)</f>
        <v>2.1257999999999999</v>
      </c>
      <c r="P120" s="7">
        <f ca="1">[1]!b_calc_curve_chinabond("1102",P$1,$B120)</f>
        <v>2.1248999999999998</v>
      </c>
      <c r="Q120" s="7">
        <f ca="1">[1]!b_calc_curve_chinabond("1102",Q$1,$B120)</f>
        <v>2.1114000000000002</v>
      </c>
      <c r="R120" s="7">
        <f ca="1">[1]!b_calc_curve_chinabond("1102",R$1,$B120)</f>
        <v>2.1240999999999999</v>
      </c>
      <c r="S120" s="7">
        <f ca="1">[1]!b_calc_curve_chinabond("1102",S$1,$B120)</f>
        <v>0</v>
      </c>
      <c r="T120" s="7">
        <f ca="1">[1]!b_calc_curve_chinabond("1102",T$1,$B120)</f>
        <v>0</v>
      </c>
      <c r="U120" s="7">
        <f ca="1">[1]!b_calc_curve_chinabond("1102",U$1,$B120)</f>
        <v>2.1343999999999999</v>
      </c>
      <c r="V120" s="7">
        <f ca="1">[1]!b_calc_curve_chinabond("1102",V$1,$B120)</f>
        <v>2.1488999999999998</v>
      </c>
      <c r="W120" s="7">
        <f ca="1">[1]!b_calc_curve_chinabond("1102",W$1,$B120)</f>
        <v>2.1471</v>
      </c>
      <c r="X120" s="7">
        <f ca="1">[1]!b_calc_curve_chinabond("1102",X$1,$B120)</f>
        <v>2.1957</v>
      </c>
      <c r="Y120" s="7">
        <f ca="1">[1]!b_calc_curve_chinabond("1102",Y$1,$B120)</f>
        <v>2.1821999999999999</v>
      </c>
      <c r="Z120" s="7">
        <f ca="1">[1]!b_calc_curve_chinabond("1102",Z$1,$B120)</f>
        <v>0</v>
      </c>
      <c r="AA120" s="7">
        <f ca="1">[1]!b_calc_curve_chinabond("1102",AA$1,$B120)</f>
        <v>0</v>
      </c>
      <c r="AB120" s="7">
        <f ca="1">[1]!b_calc_curve_chinabond("1102",AB$1,$B120)</f>
        <v>2.1812999999999998</v>
      </c>
      <c r="AC120" s="7">
        <f ca="1">[1]!b_calc_curve_chinabond("1102",AC$1,$B120)</f>
        <v>2.1594000000000002</v>
      </c>
      <c r="AD120" s="7">
        <f ca="1">[1]!b_calc_curve_chinabond("1102",AD$1,$B120)</f>
        <v>2.1616</v>
      </c>
      <c r="AE120" s="7">
        <f ca="1">[1]!b_calc_curve_chinabond("1102",AE$1,$B120)</f>
        <v>2.1568999999999998</v>
      </c>
      <c r="AF120" s="7">
        <f ca="1">[1]!b_calc_curve_chinabond("1102",AF$1,$B120)</f>
        <v>0</v>
      </c>
      <c r="AG120" s="7">
        <f ca="1">[1]!b_calc_curve_chinabond("1102",AG$1,$B120)</f>
        <v>0</v>
      </c>
      <c r="AH120" s="7">
        <f ca="1">[1]!b_calc_curve_chinabond("1102",AH$1,$B120)</f>
        <v>0</v>
      </c>
      <c r="AI120" s="7">
        <f ca="1">[1]!b_calc_curve_chinabond("1102",AI$1,$B120)</f>
        <v>0</v>
      </c>
    </row>
    <row r="121" spans="1:35" ht="19.5" customHeight="1">
      <c r="A121" s="3" t="s">
        <v>121</v>
      </c>
      <c r="B121" s="4">
        <v>11.3</v>
      </c>
      <c r="C121" s="7">
        <f ca="1">[1]!b_calc_curve_chinabond("1102",C$1,$B121)</f>
        <v>2.2197</v>
      </c>
      <c r="D121" s="7">
        <f ca="1">[1]!b_calc_curve_chinabond("1102",D$1,$B121)</f>
        <v>2.2235</v>
      </c>
      <c r="E121" s="7">
        <f ca="1">[1]!b_calc_curve_chinabond("1102",E$1,$B121)</f>
        <v>0</v>
      </c>
      <c r="F121" s="7">
        <f ca="1">[1]!b_calc_curve_chinabond("1102",F$1,$B121)</f>
        <v>0</v>
      </c>
      <c r="G121" s="7">
        <f ca="1">[1]!b_calc_curve_chinabond("1102",G$1,$B121)</f>
        <v>2.2240000000000002</v>
      </c>
      <c r="H121" s="7">
        <f ca="1">[1]!b_calc_curve_chinabond("1102",H$1,$B121)</f>
        <v>2.1958000000000002</v>
      </c>
      <c r="I121" s="7">
        <f ca="1">[1]!b_calc_curve_chinabond("1102",I$1,$B121)</f>
        <v>2.1884000000000001</v>
      </c>
      <c r="J121" s="7">
        <f ca="1">[1]!b_calc_curve_chinabond("1102",J$1,$B121)</f>
        <v>2.1783999999999999</v>
      </c>
      <c r="K121" s="7">
        <f ca="1">[1]!b_calc_curve_chinabond("1102",K$1,$B121)</f>
        <v>2.1511</v>
      </c>
      <c r="L121" s="7">
        <f ca="1">[1]!b_calc_curve_chinabond("1102",L$1,$B121)</f>
        <v>0</v>
      </c>
      <c r="M121" s="7">
        <f ca="1">[1]!b_calc_curve_chinabond("1102",M$1,$B121)</f>
        <v>0</v>
      </c>
      <c r="N121" s="7">
        <f ca="1">[1]!b_calc_curve_chinabond("1102",N$1,$B121)</f>
        <v>2.1425000000000001</v>
      </c>
      <c r="O121" s="7">
        <f ca="1">[1]!b_calc_curve_chinabond("1102",O$1,$B121)</f>
        <v>2.1286</v>
      </c>
      <c r="P121" s="7">
        <f ca="1">[1]!b_calc_curve_chinabond("1102",P$1,$B121)</f>
        <v>2.1276999999999999</v>
      </c>
      <c r="Q121" s="7">
        <f ca="1">[1]!b_calc_curve_chinabond("1102",Q$1,$B121)</f>
        <v>2.1141999999999999</v>
      </c>
      <c r="R121" s="7">
        <f ca="1">[1]!b_calc_curve_chinabond("1102",R$1,$B121)</f>
        <v>2.1272000000000002</v>
      </c>
      <c r="S121" s="7">
        <f ca="1">[1]!b_calc_curve_chinabond("1102",S$1,$B121)</f>
        <v>0</v>
      </c>
      <c r="T121" s="7">
        <f ca="1">[1]!b_calc_curve_chinabond("1102",T$1,$B121)</f>
        <v>0</v>
      </c>
      <c r="U121" s="7">
        <f ca="1">[1]!b_calc_curve_chinabond("1102",U$1,$B121)</f>
        <v>2.1375000000000002</v>
      </c>
      <c r="V121" s="7">
        <f ca="1">[1]!b_calc_curve_chinabond("1102",V$1,$B121)</f>
        <v>2.1516999999999999</v>
      </c>
      <c r="W121" s="7">
        <f ca="1">[1]!b_calc_curve_chinabond("1102",W$1,$B121)</f>
        <v>2.1496</v>
      </c>
      <c r="X121" s="7">
        <f ca="1">[1]!b_calc_curve_chinabond("1102",X$1,$B121)</f>
        <v>2.1985000000000001</v>
      </c>
      <c r="Y121" s="7">
        <f ca="1">[1]!b_calc_curve_chinabond("1102",Y$1,$B121)</f>
        <v>2.1850000000000001</v>
      </c>
      <c r="Z121" s="7">
        <f ca="1">[1]!b_calc_curve_chinabond("1102",Z$1,$B121)</f>
        <v>0</v>
      </c>
      <c r="AA121" s="7">
        <f ca="1">[1]!b_calc_curve_chinabond("1102",AA$1,$B121)</f>
        <v>0</v>
      </c>
      <c r="AB121" s="7">
        <f ca="1">[1]!b_calc_curve_chinabond("1102",AB$1,$B121)</f>
        <v>2.1840999999999999</v>
      </c>
      <c r="AC121" s="7">
        <f ca="1">[1]!b_calc_curve_chinabond("1102",AC$1,$B121)</f>
        <v>2.1621999999999999</v>
      </c>
      <c r="AD121" s="7">
        <f ca="1">[1]!b_calc_curve_chinabond("1102",AD$1,$B121)</f>
        <v>2.1646000000000001</v>
      </c>
      <c r="AE121" s="7">
        <f ca="1">[1]!b_calc_curve_chinabond("1102",AE$1,$B121)</f>
        <v>2.1598999999999999</v>
      </c>
      <c r="AF121" s="7">
        <f ca="1">[1]!b_calc_curve_chinabond("1102",AF$1,$B121)</f>
        <v>0</v>
      </c>
      <c r="AG121" s="7">
        <f ca="1">[1]!b_calc_curve_chinabond("1102",AG$1,$B121)</f>
        <v>0</v>
      </c>
      <c r="AH121" s="7">
        <f ca="1">[1]!b_calc_curve_chinabond("1102",AH$1,$B121)</f>
        <v>0</v>
      </c>
      <c r="AI121" s="7">
        <f ca="1">[1]!b_calc_curve_chinabond("1102",AI$1,$B121)</f>
        <v>0</v>
      </c>
    </row>
    <row r="122" spans="1:35" ht="19.5" customHeight="1">
      <c r="A122" s="1" t="s">
        <v>122</v>
      </c>
      <c r="B122" s="2">
        <v>11.4</v>
      </c>
      <c r="C122" s="7">
        <f ca="1">[1]!b_calc_curve_chinabond("1102",C$1,$B122)</f>
        <v>2.2229000000000001</v>
      </c>
      <c r="D122" s="7">
        <f ca="1">[1]!b_calc_curve_chinabond("1102",D$1,$B122)</f>
        <v>2.2267000000000001</v>
      </c>
      <c r="E122" s="7">
        <f ca="1">[1]!b_calc_curve_chinabond("1102",E$1,$B122)</f>
        <v>0</v>
      </c>
      <c r="F122" s="7">
        <f ca="1">[1]!b_calc_curve_chinabond("1102",F$1,$B122)</f>
        <v>0</v>
      </c>
      <c r="G122" s="7">
        <f ca="1">[1]!b_calc_curve_chinabond("1102",G$1,$B122)</f>
        <v>2.2271999999999998</v>
      </c>
      <c r="H122" s="7">
        <f ca="1">[1]!b_calc_curve_chinabond("1102",H$1,$B122)</f>
        <v>2.1991999999999998</v>
      </c>
      <c r="I122" s="7">
        <f ca="1">[1]!b_calc_curve_chinabond("1102",I$1,$B122)</f>
        <v>2.1919</v>
      </c>
      <c r="J122" s="7">
        <f ca="1">[1]!b_calc_curve_chinabond("1102",J$1,$B122)</f>
        <v>2.1819000000000002</v>
      </c>
      <c r="K122" s="7">
        <f ca="1">[1]!b_calc_curve_chinabond("1102",K$1,$B122)</f>
        <v>2.1543000000000001</v>
      </c>
      <c r="L122" s="7">
        <f ca="1">[1]!b_calc_curve_chinabond("1102",L$1,$B122)</f>
        <v>0</v>
      </c>
      <c r="M122" s="7">
        <f ca="1">[1]!b_calc_curve_chinabond("1102",M$1,$B122)</f>
        <v>0</v>
      </c>
      <c r="N122" s="7">
        <f ca="1">[1]!b_calc_curve_chinabond("1102",N$1,$B122)</f>
        <v>2.1456</v>
      </c>
      <c r="O122" s="7">
        <f ca="1">[1]!b_calc_curve_chinabond("1102",O$1,$B122)</f>
        <v>2.1315</v>
      </c>
      <c r="P122" s="7">
        <f ca="1">[1]!b_calc_curve_chinabond("1102",P$1,$B122)</f>
        <v>2.1305999999999998</v>
      </c>
      <c r="Q122" s="7">
        <f ca="1">[1]!b_calc_curve_chinabond("1102",Q$1,$B122)</f>
        <v>2.1171000000000002</v>
      </c>
      <c r="R122" s="7">
        <f ca="1">[1]!b_calc_curve_chinabond("1102",R$1,$B122)</f>
        <v>2.1303000000000001</v>
      </c>
      <c r="S122" s="7">
        <f ca="1">[1]!b_calc_curve_chinabond("1102",S$1,$B122)</f>
        <v>0</v>
      </c>
      <c r="T122" s="7">
        <f ca="1">[1]!b_calc_curve_chinabond("1102",T$1,$B122)</f>
        <v>0</v>
      </c>
      <c r="U122" s="7">
        <f ca="1">[1]!b_calc_curve_chinabond("1102",U$1,$B122)</f>
        <v>2.1406000000000001</v>
      </c>
      <c r="V122" s="7">
        <f ca="1">[1]!b_calc_curve_chinabond("1102",V$1,$B122)</f>
        <v>2.1545999999999998</v>
      </c>
      <c r="W122" s="7">
        <f ca="1">[1]!b_calc_curve_chinabond("1102",W$1,$B122)</f>
        <v>2.1520999999999999</v>
      </c>
      <c r="X122" s="7">
        <f ca="1">[1]!b_calc_curve_chinabond("1102",X$1,$B122)</f>
        <v>2.2014</v>
      </c>
      <c r="Y122" s="7">
        <f ca="1">[1]!b_calc_curve_chinabond("1102",Y$1,$B122)</f>
        <v>2.1879</v>
      </c>
      <c r="Z122" s="7">
        <f ca="1">[1]!b_calc_curve_chinabond("1102",Z$1,$B122)</f>
        <v>0</v>
      </c>
      <c r="AA122" s="7">
        <f ca="1">[1]!b_calc_curve_chinabond("1102",AA$1,$B122)</f>
        <v>0</v>
      </c>
      <c r="AB122" s="7">
        <f ca="1">[1]!b_calc_curve_chinabond("1102",AB$1,$B122)</f>
        <v>2.1869999999999998</v>
      </c>
      <c r="AC122" s="7">
        <f ca="1">[1]!b_calc_curve_chinabond("1102",AC$1,$B122)</f>
        <v>2.1650999999999998</v>
      </c>
      <c r="AD122" s="7">
        <f ca="1">[1]!b_calc_curve_chinabond("1102",AD$1,$B122)</f>
        <v>2.1676000000000002</v>
      </c>
      <c r="AE122" s="7">
        <f ca="1">[1]!b_calc_curve_chinabond("1102",AE$1,$B122)</f>
        <v>2.1627999999999998</v>
      </c>
      <c r="AF122" s="7">
        <f ca="1">[1]!b_calc_curve_chinabond("1102",AF$1,$B122)</f>
        <v>0</v>
      </c>
      <c r="AG122" s="7">
        <f ca="1">[1]!b_calc_curve_chinabond("1102",AG$1,$B122)</f>
        <v>0</v>
      </c>
      <c r="AH122" s="7">
        <f ca="1">[1]!b_calc_curve_chinabond("1102",AH$1,$B122)</f>
        <v>0</v>
      </c>
      <c r="AI122" s="7">
        <f ca="1">[1]!b_calc_curve_chinabond("1102",AI$1,$B122)</f>
        <v>0</v>
      </c>
    </row>
    <row r="123" spans="1:35" ht="19.5" customHeight="1">
      <c r="A123" s="3" t="s">
        <v>123</v>
      </c>
      <c r="B123" s="4">
        <v>11.5</v>
      </c>
      <c r="C123" s="7">
        <f ca="1">[1]!b_calc_curve_chinabond("1102",C$1,$B123)</f>
        <v>2.226</v>
      </c>
      <c r="D123" s="7">
        <f ca="1">[1]!b_calc_curve_chinabond("1102",D$1,$B123)</f>
        <v>2.23</v>
      </c>
      <c r="E123" s="7">
        <f ca="1">[1]!b_calc_curve_chinabond("1102",E$1,$B123)</f>
        <v>0</v>
      </c>
      <c r="F123" s="7">
        <f ca="1">[1]!b_calc_curve_chinabond("1102",F$1,$B123)</f>
        <v>0</v>
      </c>
      <c r="G123" s="7">
        <f ca="1">[1]!b_calc_curve_chinabond("1102",G$1,$B123)</f>
        <v>2.2303999999999999</v>
      </c>
      <c r="H123" s="7">
        <f ca="1">[1]!b_calc_curve_chinabond("1102",H$1,$B123)</f>
        <v>2.2025999999999999</v>
      </c>
      <c r="I123" s="7">
        <f ca="1">[1]!b_calc_curve_chinabond("1102",I$1,$B123)</f>
        <v>2.1953999999999998</v>
      </c>
      <c r="J123" s="7">
        <f ca="1">[1]!b_calc_curve_chinabond("1102",J$1,$B123)</f>
        <v>2.1855000000000002</v>
      </c>
      <c r="K123" s="7">
        <f ca="1">[1]!b_calc_curve_chinabond("1102",K$1,$B123)</f>
        <v>2.1576</v>
      </c>
      <c r="L123" s="7">
        <f ca="1">[1]!b_calc_curve_chinabond("1102",L$1,$B123)</f>
        <v>0</v>
      </c>
      <c r="M123" s="7">
        <f ca="1">[1]!b_calc_curve_chinabond("1102",M$1,$B123)</f>
        <v>0</v>
      </c>
      <c r="N123" s="7">
        <f ca="1">[1]!b_calc_curve_chinabond("1102",N$1,$B123)</f>
        <v>2.1486999999999998</v>
      </c>
      <c r="O123" s="7">
        <f ca="1">[1]!b_calc_curve_chinabond("1102",O$1,$B123)</f>
        <v>2.1345999999999998</v>
      </c>
      <c r="P123" s="7">
        <f ca="1">[1]!b_calc_curve_chinabond("1102",P$1,$B123)</f>
        <v>2.1335999999999999</v>
      </c>
      <c r="Q123" s="7">
        <f ca="1">[1]!b_calc_curve_chinabond("1102",Q$1,$B123)</f>
        <v>2.1202000000000001</v>
      </c>
      <c r="R123" s="7">
        <f ca="1">[1]!b_calc_curve_chinabond("1102",R$1,$B123)</f>
        <v>2.1334</v>
      </c>
      <c r="S123" s="7">
        <f ca="1">[1]!b_calc_curve_chinabond("1102",S$1,$B123)</f>
        <v>0</v>
      </c>
      <c r="T123" s="7">
        <f ca="1">[1]!b_calc_curve_chinabond("1102",T$1,$B123)</f>
        <v>0</v>
      </c>
      <c r="U123" s="7">
        <f ca="1">[1]!b_calc_curve_chinabond("1102",U$1,$B123)</f>
        <v>2.1436999999999999</v>
      </c>
      <c r="V123" s="7">
        <f ca="1">[1]!b_calc_curve_chinabond("1102",V$1,$B123)</f>
        <v>2.1575000000000002</v>
      </c>
      <c r="W123" s="7">
        <f ca="1">[1]!b_calc_curve_chinabond("1102",W$1,$B123)</f>
        <v>2.1547999999999998</v>
      </c>
      <c r="X123" s="7">
        <f ca="1">[1]!b_calc_curve_chinabond("1102",X$1,$B123)</f>
        <v>2.2042999999999999</v>
      </c>
      <c r="Y123" s="7">
        <f ca="1">[1]!b_calc_curve_chinabond("1102",Y$1,$B123)</f>
        <v>2.1907999999999999</v>
      </c>
      <c r="Z123" s="7">
        <f ca="1">[1]!b_calc_curve_chinabond("1102",Z$1,$B123)</f>
        <v>0</v>
      </c>
      <c r="AA123" s="7">
        <f ca="1">[1]!b_calc_curve_chinabond("1102",AA$1,$B123)</f>
        <v>0</v>
      </c>
      <c r="AB123" s="7">
        <f ca="1">[1]!b_calc_curve_chinabond("1102",AB$1,$B123)</f>
        <v>2.1899000000000002</v>
      </c>
      <c r="AC123" s="7">
        <f ca="1">[1]!b_calc_curve_chinabond("1102",AC$1,$B123)</f>
        <v>2.1680000000000001</v>
      </c>
      <c r="AD123" s="7">
        <f ca="1">[1]!b_calc_curve_chinabond("1102",AD$1,$B123)</f>
        <v>2.1705999999999999</v>
      </c>
      <c r="AE123" s="7">
        <f ca="1">[1]!b_calc_curve_chinabond("1102",AE$1,$B123)</f>
        <v>2.1656</v>
      </c>
      <c r="AF123" s="7">
        <f ca="1">[1]!b_calc_curve_chinabond("1102",AF$1,$B123)</f>
        <v>0</v>
      </c>
      <c r="AG123" s="7">
        <f ca="1">[1]!b_calc_curve_chinabond("1102",AG$1,$B123)</f>
        <v>0</v>
      </c>
      <c r="AH123" s="7">
        <f ca="1">[1]!b_calc_curve_chinabond("1102",AH$1,$B123)</f>
        <v>0</v>
      </c>
      <c r="AI123" s="7">
        <f ca="1">[1]!b_calc_curve_chinabond("1102",AI$1,$B123)</f>
        <v>0</v>
      </c>
    </row>
    <row r="124" spans="1:35" ht="19.5" customHeight="1">
      <c r="A124" s="1" t="s">
        <v>124</v>
      </c>
      <c r="B124" s="2">
        <v>11.6</v>
      </c>
      <c r="C124" s="7">
        <f ca="1">[1]!b_calc_curve_chinabond("1102",C$1,$B124)</f>
        <v>2.2292000000000001</v>
      </c>
      <c r="D124" s="7">
        <f ca="1">[1]!b_calc_curve_chinabond("1102",D$1,$B124)</f>
        <v>2.2332000000000001</v>
      </c>
      <c r="E124" s="7">
        <f ca="1">[1]!b_calc_curve_chinabond("1102",E$1,$B124)</f>
        <v>0</v>
      </c>
      <c r="F124" s="7">
        <f ca="1">[1]!b_calc_curve_chinabond("1102",F$1,$B124)</f>
        <v>0</v>
      </c>
      <c r="G124" s="7">
        <f ca="1">[1]!b_calc_curve_chinabond("1102",G$1,$B124)</f>
        <v>2.2334999999999998</v>
      </c>
      <c r="H124" s="7">
        <f ca="1">[1]!b_calc_curve_chinabond("1102",H$1,$B124)</f>
        <v>2.2061000000000002</v>
      </c>
      <c r="I124" s="7">
        <f ca="1">[1]!b_calc_curve_chinabond("1102",I$1,$B124)</f>
        <v>2.1989999999999998</v>
      </c>
      <c r="J124" s="7">
        <f ca="1">[1]!b_calc_curve_chinabond("1102",J$1,$B124)</f>
        <v>2.1890999999999998</v>
      </c>
      <c r="K124" s="7">
        <f ca="1">[1]!b_calc_curve_chinabond("1102",K$1,$B124)</f>
        <v>2.161</v>
      </c>
      <c r="L124" s="7">
        <f ca="1">[1]!b_calc_curve_chinabond("1102",L$1,$B124)</f>
        <v>0</v>
      </c>
      <c r="M124" s="7">
        <f ca="1">[1]!b_calc_curve_chinabond("1102",M$1,$B124)</f>
        <v>0</v>
      </c>
      <c r="N124" s="7">
        <f ca="1">[1]!b_calc_curve_chinabond("1102",N$1,$B124)</f>
        <v>2.1520000000000001</v>
      </c>
      <c r="O124" s="7">
        <f ca="1">[1]!b_calc_curve_chinabond("1102",O$1,$B124)</f>
        <v>2.1377000000000002</v>
      </c>
      <c r="P124" s="7">
        <f ca="1">[1]!b_calc_curve_chinabond("1102",P$1,$B124)</f>
        <v>2.1366999999999998</v>
      </c>
      <c r="Q124" s="7">
        <f ca="1">[1]!b_calc_curve_chinabond("1102",Q$1,$B124)</f>
        <v>2.1233</v>
      </c>
      <c r="R124" s="7">
        <f ca="1">[1]!b_calc_curve_chinabond("1102",R$1,$B124)</f>
        <v>2.1366000000000001</v>
      </c>
      <c r="S124" s="7">
        <f ca="1">[1]!b_calc_curve_chinabond("1102",S$1,$B124)</f>
        <v>0</v>
      </c>
      <c r="T124" s="7">
        <f ca="1">[1]!b_calc_curve_chinabond("1102",T$1,$B124)</f>
        <v>0</v>
      </c>
      <c r="U124" s="7">
        <f ca="1">[1]!b_calc_curve_chinabond("1102",U$1,$B124)</f>
        <v>2.1469</v>
      </c>
      <c r="V124" s="7">
        <f ca="1">[1]!b_calc_curve_chinabond("1102",V$1,$B124)</f>
        <v>2.1604000000000001</v>
      </c>
      <c r="W124" s="7">
        <f ca="1">[1]!b_calc_curve_chinabond("1102",W$1,$B124)</f>
        <v>2.1576</v>
      </c>
      <c r="X124" s="7">
        <f ca="1">[1]!b_calc_curve_chinabond("1102",X$1,$B124)</f>
        <v>2.2071999999999998</v>
      </c>
      <c r="Y124" s="7">
        <f ca="1">[1]!b_calc_curve_chinabond("1102",Y$1,$B124)</f>
        <v>2.1938</v>
      </c>
      <c r="Z124" s="7">
        <f ca="1">[1]!b_calc_curve_chinabond("1102",Z$1,$B124)</f>
        <v>0</v>
      </c>
      <c r="AA124" s="7">
        <f ca="1">[1]!b_calc_curve_chinabond("1102",AA$1,$B124)</f>
        <v>0</v>
      </c>
      <c r="AB124" s="7">
        <f ca="1">[1]!b_calc_curve_chinabond("1102",AB$1,$B124)</f>
        <v>2.1928999999999998</v>
      </c>
      <c r="AC124" s="7">
        <f ca="1">[1]!b_calc_curve_chinabond("1102",AC$1,$B124)</f>
        <v>2.1711</v>
      </c>
      <c r="AD124" s="7">
        <f ca="1">[1]!b_calc_curve_chinabond("1102",AD$1,$B124)</f>
        <v>2.1736</v>
      </c>
      <c r="AE124" s="7">
        <f ca="1">[1]!b_calc_curve_chinabond("1102",AE$1,$B124)</f>
        <v>2.1684999999999999</v>
      </c>
      <c r="AF124" s="7">
        <f ca="1">[1]!b_calc_curve_chinabond("1102",AF$1,$B124)</f>
        <v>0</v>
      </c>
      <c r="AG124" s="7">
        <f ca="1">[1]!b_calc_curve_chinabond("1102",AG$1,$B124)</f>
        <v>0</v>
      </c>
      <c r="AH124" s="7">
        <f ca="1">[1]!b_calc_curve_chinabond("1102",AH$1,$B124)</f>
        <v>0</v>
      </c>
      <c r="AI124" s="7">
        <f ca="1">[1]!b_calc_curve_chinabond("1102",AI$1,$B124)</f>
        <v>0</v>
      </c>
    </row>
    <row r="125" spans="1:35" ht="19.5" customHeight="1">
      <c r="A125" s="3" t="s">
        <v>125</v>
      </c>
      <c r="B125" s="4">
        <v>11.7</v>
      </c>
      <c r="C125" s="7">
        <f ca="1">[1]!b_calc_curve_chinabond("1102",C$1,$B125)</f>
        <v>2.2323</v>
      </c>
      <c r="D125" s="7">
        <f ca="1">[1]!b_calc_curve_chinabond("1102",D$1,$B125)</f>
        <v>2.2364000000000002</v>
      </c>
      <c r="E125" s="7">
        <f ca="1">[1]!b_calc_curve_chinabond("1102",E$1,$B125)</f>
        <v>0</v>
      </c>
      <c r="F125" s="7">
        <f ca="1">[1]!b_calc_curve_chinabond("1102",F$1,$B125)</f>
        <v>0</v>
      </c>
      <c r="G125" s="7">
        <f ca="1">[1]!b_calc_curve_chinabond("1102",G$1,$B125)</f>
        <v>2.2366000000000001</v>
      </c>
      <c r="H125" s="7">
        <f ca="1">[1]!b_calc_curve_chinabond("1102",H$1,$B125)</f>
        <v>2.2096</v>
      </c>
      <c r="I125" s="7">
        <f ca="1">[1]!b_calc_curve_chinabond("1102",I$1,$B125)</f>
        <v>2.2025999999999999</v>
      </c>
      <c r="J125" s="7">
        <f ca="1">[1]!b_calc_curve_chinabond("1102",J$1,$B125)</f>
        <v>2.1928000000000001</v>
      </c>
      <c r="K125" s="7">
        <f ca="1">[1]!b_calc_curve_chinabond("1102",K$1,$B125)</f>
        <v>2.1646000000000001</v>
      </c>
      <c r="L125" s="7">
        <f ca="1">[1]!b_calc_curve_chinabond("1102",L$1,$B125)</f>
        <v>0</v>
      </c>
      <c r="M125" s="7">
        <f ca="1">[1]!b_calc_curve_chinabond("1102",M$1,$B125)</f>
        <v>0</v>
      </c>
      <c r="N125" s="7">
        <f ca="1">[1]!b_calc_curve_chinabond("1102",N$1,$B125)</f>
        <v>2.1553</v>
      </c>
      <c r="O125" s="7">
        <f ca="1">[1]!b_calc_curve_chinabond("1102",O$1,$B125)</f>
        <v>2.1408999999999998</v>
      </c>
      <c r="P125" s="7">
        <f ca="1">[1]!b_calc_curve_chinabond("1102",P$1,$B125)</f>
        <v>2.1398000000000001</v>
      </c>
      <c r="Q125" s="7">
        <f ca="1">[1]!b_calc_curve_chinabond("1102",Q$1,$B125)</f>
        <v>2.1265999999999998</v>
      </c>
      <c r="R125" s="7">
        <f ca="1">[1]!b_calc_curve_chinabond("1102",R$1,$B125)</f>
        <v>2.1398000000000001</v>
      </c>
      <c r="S125" s="7">
        <f ca="1">[1]!b_calc_curve_chinabond("1102",S$1,$B125)</f>
        <v>0</v>
      </c>
      <c r="T125" s="7">
        <f ca="1">[1]!b_calc_curve_chinabond("1102",T$1,$B125)</f>
        <v>0</v>
      </c>
      <c r="U125" s="7">
        <f ca="1">[1]!b_calc_curve_chinabond("1102",U$1,$B125)</f>
        <v>2.1501000000000001</v>
      </c>
      <c r="V125" s="7">
        <f ca="1">[1]!b_calc_curve_chinabond("1102",V$1,$B125)</f>
        <v>2.1633</v>
      </c>
      <c r="W125" s="7">
        <f ca="1">[1]!b_calc_curve_chinabond("1102",W$1,$B125)</f>
        <v>2.1604999999999999</v>
      </c>
      <c r="X125" s="7">
        <f ca="1">[1]!b_calc_curve_chinabond("1102",X$1,$B125)</f>
        <v>2.2101000000000002</v>
      </c>
      <c r="Y125" s="7">
        <f ca="1">[1]!b_calc_curve_chinabond("1102",Y$1,$B125)</f>
        <v>2.1968999999999999</v>
      </c>
      <c r="Z125" s="7">
        <f ca="1">[1]!b_calc_curve_chinabond("1102",Z$1,$B125)</f>
        <v>0</v>
      </c>
      <c r="AA125" s="7">
        <f ca="1">[1]!b_calc_curve_chinabond("1102",AA$1,$B125)</f>
        <v>0</v>
      </c>
      <c r="AB125" s="7">
        <f ca="1">[1]!b_calc_curve_chinabond("1102",AB$1,$B125)</f>
        <v>2.1960000000000002</v>
      </c>
      <c r="AC125" s="7">
        <f ca="1">[1]!b_calc_curve_chinabond("1102",AC$1,$B125)</f>
        <v>2.1743000000000001</v>
      </c>
      <c r="AD125" s="7">
        <f ca="1">[1]!b_calc_curve_chinabond("1102",AD$1,$B125)</f>
        <v>2.1766000000000001</v>
      </c>
      <c r="AE125" s="7">
        <f ca="1">[1]!b_calc_curve_chinabond("1102",AE$1,$B125)</f>
        <v>2.1713</v>
      </c>
      <c r="AF125" s="7">
        <f ca="1">[1]!b_calc_curve_chinabond("1102",AF$1,$B125)</f>
        <v>0</v>
      </c>
      <c r="AG125" s="7">
        <f ca="1">[1]!b_calc_curve_chinabond("1102",AG$1,$B125)</f>
        <v>0</v>
      </c>
      <c r="AH125" s="7">
        <f ca="1">[1]!b_calc_curve_chinabond("1102",AH$1,$B125)</f>
        <v>0</v>
      </c>
      <c r="AI125" s="7">
        <f ca="1">[1]!b_calc_curve_chinabond("1102",AI$1,$B125)</f>
        <v>0</v>
      </c>
    </row>
    <row r="126" spans="1:35" ht="19.5" customHeight="1">
      <c r="A126" s="1" t="s">
        <v>126</v>
      </c>
      <c r="B126" s="2">
        <v>11.8</v>
      </c>
      <c r="C126" s="7">
        <f ca="1">[1]!b_calc_curve_chinabond("1102",C$1,$B126)</f>
        <v>2.2353999999999998</v>
      </c>
      <c r="D126" s="7">
        <f ca="1">[1]!b_calc_curve_chinabond("1102",D$1,$B126)</f>
        <v>2.2395</v>
      </c>
      <c r="E126" s="7">
        <f ca="1">[1]!b_calc_curve_chinabond("1102",E$1,$B126)</f>
        <v>0</v>
      </c>
      <c r="F126" s="7">
        <f ca="1">[1]!b_calc_curve_chinabond("1102",F$1,$B126)</f>
        <v>0</v>
      </c>
      <c r="G126" s="7">
        <f ca="1">[1]!b_calc_curve_chinabond("1102",G$1,$B126)</f>
        <v>2.2395</v>
      </c>
      <c r="H126" s="7">
        <f ca="1">[1]!b_calc_curve_chinabond("1102",H$1,$B126)</f>
        <v>2.2130999999999998</v>
      </c>
      <c r="I126" s="7">
        <f ca="1">[1]!b_calc_curve_chinabond("1102",I$1,$B126)</f>
        <v>2.2063000000000001</v>
      </c>
      <c r="J126" s="7">
        <f ca="1">[1]!b_calc_curve_chinabond("1102",J$1,$B126)</f>
        <v>2.1964999999999999</v>
      </c>
      <c r="K126" s="7">
        <f ca="1">[1]!b_calc_curve_chinabond("1102",K$1,$B126)</f>
        <v>2.1682000000000001</v>
      </c>
      <c r="L126" s="7">
        <f ca="1">[1]!b_calc_curve_chinabond("1102",L$1,$B126)</f>
        <v>0</v>
      </c>
      <c r="M126" s="7">
        <f ca="1">[1]!b_calc_curve_chinabond("1102",M$1,$B126)</f>
        <v>0</v>
      </c>
      <c r="N126" s="7">
        <f ca="1">[1]!b_calc_curve_chinabond("1102",N$1,$B126)</f>
        <v>2.1587999999999998</v>
      </c>
      <c r="O126" s="7">
        <f ca="1">[1]!b_calc_curve_chinabond("1102",O$1,$B126)</f>
        <v>2.1440999999999999</v>
      </c>
      <c r="P126" s="7">
        <f ca="1">[1]!b_calc_curve_chinabond("1102",P$1,$B126)</f>
        <v>2.1431</v>
      </c>
      <c r="Q126" s="7">
        <f ca="1">[1]!b_calc_curve_chinabond("1102",Q$1,$B126)</f>
        <v>2.13</v>
      </c>
      <c r="R126" s="7">
        <f ca="1">[1]!b_calc_curve_chinabond("1102",R$1,$B126)</f>
        <v>2.1431</v>
      </c>
      <c r="S126" s="7">
        <f ca="1">[1]!b_calc_curve_chinabond("1102",S$1,$B126)</f>
        <v>0</v>
      </c>
      <c r="T126" s="7">
        <f ca="1">[1]!b_calc_curve_chinabond("1102",T$1,$B126)</f>
        <v>0</v>
      </c>
      <c r="U126" s="7">
        <f ca="1">[1]!b_calc_curve_chinabond("1102",U$1,$B126)</f>
        <v>2.1533000000000002</v>
      </c>
      <c r="V126" s="7">
        <f ca="1">[1]!b_calc_curve_chinabond("1102",V$1,$B126)</f>
        <v>2.1663000000000001</v>
      </c>
      <c r="W126" s="7">
        <f ca="1">[1]!b_calc_curve_chinabond("1102",W$1,$B126)</f>
        <v>2.1635</v>
      </c>
      <c r="X126" s="7">
        <f ca="1">[1]!b_calc_curve_chinabond("1102",X$1,$B126)</f>
        <v>2.2128999999999999</v>
      </c>
      <c r="Y126" s="7">
        <f ca="1">[1]!b_calc_curve_chinabond("1102",Y$1,$B126)</f>
        <v>2.2000999999999999</v>
      </c>
      <c r="Z126" s="7">
        <f ca="1">[1]!b_calc_curve_chinabond("1102",Z$1,$B126)</f>
        <v>0</v>
      </c>
      <c r="AA126" s="7">
        <f ca="1">[1]!b_calc_curve_chinabond("1102",AA$1,$B126)</f>
        <v>0</v>
      </c>
      <c r="AB126" s="7">
        <f ca="1">[1]!b_calc_curve_chinabond("1102",AB$1,$B126)</f>
        <v>2.1991000000000001</v>
      </c>
      <c r="AC126" s="7">
        <f ca="1">[1]!b_calc_curve_chinabond("1102",AC$1,$B126)</f>
        <v>2.1776</v>
      </c>
      <c r="AD126" s="7">
        <f ca="1">[1]!b_calc_curve_chinabond("1102",AD$1,$B126)</f>
        <v>2.1796000000000002</v>
      </c>
      <c r="AE126" s="7">
        <f ca="1">[1]!b_calc_curve_chinabond("1102",AE$1,$B126)</f>
        <v>2.1741999999999999</v>
      </c>
      <c r="AF126" s="7">
        <f ca="1">[1]!b_calc_curve_chinabond("1102",AF$1,$B126)</f>
        <v>0</v>
      </c>
      <c r="AG126" s="7">
        <f ca="1">[1]!b_calc_curve_chinabond("1102",AG$1,$B126)</f>
        <v>0</v>
      </c>
      <c r="AH126" s="7">
        <f ca="1">[1]!b_calc_curve_chinabond("1102",AH$1,$B126)</f>
        <v>0</v>
      </c>
      <c r="AI126" s="7">
        <f ca="1">[1]!b_calc_curve_chinabond("1102",AI$1,$B126)</f>
        <v>0</v>
      </c>
    </row>
    <row r="127" spans="1:35" ht="19.5" customHeight="1">
      <c r="A127" s="3" t="s">
        <v>127</v>
      </c>
      <c r="B127" s="4">
        <v>11.9</v>
      </c>
      <c r="C127" s="7">
        <f ca="1">[1]!b_calc_curve_chinabond("1102",C$1,$B127)</f>
        <v>2.2385000000000002</v>
      </c>
      <c r="D127" s="7">
        <f ca="1">[1]!b_calc_curve_chinabond("1102",D$1,$B127)</f>
        <v>2.2425999999999999</v>
      </c>
      <c r="E127" s="7">
        <f ca="1">[1]!b_calc_curve_chinabond("1102",E$1,$B127)</f>
        <v>0</v>
      </c>
      <c r="F127" s="7">
        <f ca="1">[1]!b_calc_curve_chinabond("1102",F$1,$B127)</f>
        <v>0</v>
      </c>
      <c r="G127" s="7">
        <f ca="1">[1]!b_calc_curve_chinabond("1102",G$1,$B127)</f>
        <v>2.2425000000000002</v>
      </c>
      <c r="H127" s="7">
        <f ca="1">[1]!b_calc_curve_chinabond("1102",H$1,$B127)</f>
        <v>2.2166000000000001</v>
      </c>
      <c r="I127" s="7">
        <f ca="1">[1]!b_calc_curve_chinabond("1102",I$1,$B127)</f>
        <v>2.21</v>
      </c>
      <c r="J127" s="7">
        <f ca="1">[1]!b_calc_curve_chinabond("1102",J$1,$B127)</f>
        <v>2.2002000000000002</v>
      </c>
      <c r="K127" s="7">
        <f ca="1">[1]!b_calc_curve_chinabond("1102",K$1,$B127)</f>
        <v>2.1718000000000002</v>
      </c>
      <c r="L127" s="7">
        <f ca="1">[1]!b_calc_curve_chinabond("1102",L$1,$B127)</f>
        <v>0</v>
      </c>
      <c r="M127" s="7">
        <f ca="1">[1]!b_calc_curve_chinabond("1102",M$1,$B127)</f>
        <v>0</v>
      </c>
      <c r="N127" s="7">
        <f ca="1">[1]!b_calc_curve_chinabond("1102",N$1,$B127)</f>
        <v>2.1623000000000001</v>
      </c>
      <c r="O127" s="7">
        <f ca="1">[1]!b_calc_curve_chinabond("1102",O$1,$B127)</f>
        <v>2.1475</v>
      </c>
      <c r="P127" s="7">
        <f ca="1">[1]!b_calc_curve_chinabond("1102",P$1,$B127)</f>
        <v>2.1463999999999999</v>
      </c>
      <c r="Q127" s="7">
        <f ca="1">[1]!b_calc_curve_chinabond("1102",Q$1,$B127)</f>
        <v>2.1335000000000002</v>
      </c>
      <c r="R127" s="7">
        <f ca="1">[1]!b_calc_curve_chinabond("1102",R$1,$B127)</f>
        <v>2.1463000000000001</v>
      </c>
      <c r="S127" s="7">
        <f ca="1">[1]!b_calc_curve_chinabond("1102",S$1,$B127)</f>
        <v>0</v>
      </c>
      <c r="T127" s="7">
        <f ca="1">[1]!b_calc_curve_chinabond("1102",T$1,$B127)</f>
        <v>0</v>
      </c>
      <c r="U127" s="7">
        <f ca="1">[1]!b_calc_curve_chinabond("1102",U$1,$B127)</f>
        <v>2.1566000000000001</v>
      </c>
      <c r="V127" s="7">
        <f ca="1">[1]!b_calc_curve_chinabond("1102",V$1,$B127)</f>
        <v>2.1692999999999998</v>
      </c>
      <c r="W127" s="7">
        <f ca="1">[1]!b_calc_curve_chinabond("1102",W$1,$B127)</f>
        <v>2.1667000000000001</v>
      </c>
      <c r="X127" s="7">
        <f ca="1">[1]!b_calc_curve_chinabond("1102",X$1,$B127)</f>
        <v>2.2158000000000002</v>
      </c>
      <c r="Y127" s="7">
        <f ca="1">[1]!b_calc_curve_chinabond("1102",Y$1,$B127)</f>
        <v>2.2033</v>
      </c>
      <c r="Z127" s="7">
        <f ca="1">[1]!b_calc_curve_chinabond("1102",Z$1,$B127)</f>
        <v>0</v>
      </c>
      <c r="AA127" s="7">
        <f ca="1">[1]!b_calc_curve_chinabond("1102",AA$1,$B127)</f>
        <v>0</v>
      </c>
      <c r="AB127" s="7">
        <f ca="1">[1]!b_calc_curve_chinabond("1102",AB$1,$B127)</f>
        <v>2.2021999999999999</v>
      </c>
      <c r="AC127" s="7">
        <f ca="1">[1]!b_calc_curve_chinabond("1102",AC$1,$B127)</f>
        <v>2.1808999999999998</v>
      </c>
      <c r="AD127" s="7">
        <f ca="1">[1]!b_calc_curve_chinabond("1102",AD$1,$B127)</f>
        <v>2.1825999999999999</v>
      </c>
      <c r="AE127" s="7">
        <f ca="1">[1]!b_calc_curve_chinabond("1102",AE$1,$B127)</f>
        <v>2.177</v>
      </c>
      <c r="AF127" s="7">
        <f ca="1">[1]!b_calc_curve_chinabond("1102",AF$1,$B127)</f>
        <v>0</v>
      </c>
      <c r="AG127" s="7">
        <f ca="1">[1]!b_calc_curve_chinabond("1102",AG$1,$B127)</f>
        <v>0</v>
      </c>
      <c r="AH127" s="7">
        <f ca="1">[1]!b_calc_curve_chinabond("1102",AH$1,$B127)</f>
        <v>0</v>
      </c>
      <c r="AI127" s="7">
        <f ca="1">[1]!b_calc_curve_chinabond("1102",AI$1,$B127)</f>
        <v>0</v>
      </c>
    </row>
    <row r="128" spans="1:35" ht="19.5" customHeight="1">
      <c r="A128" s="1" t="s">
        <v>128</v>
      </c>
      <c r="B128" s="2">
        <v>12</v>
      </c>
      <c r="C128" s="7">
        <f ca="1">[1]!b_calc_curve_chinabond("1102",C$1,$B128)</f>
        <v>2.2416</v>
      </c>
      <c r="D128" s="7">
        <f ca="1">[1]!b_calc_curve_chinabond("1102",D$1,$B128)</f>
        <v>2.2456999999999998</v>
      </c>
      <c r="E128" s="7">
        <f ca="1">[1]!b_calc_curve_chinabond("1102",E$1,$B128)</f>
        <v>0</v>
      </c>
      <c r="F128" s="7">
        <f ca="1">[1]!b_calc_curve_chinabond("1102",F$1,$B128)</f>
        <v>0</v>
      </c>
      <c r="G128" s="7">
        <f ca="1">[1]!b_calc_curve_chinabond("1102",G$1,$B128)</f>
        <v>2.2454000000000001</v>
      </c>
      <c r="H128" s="7">
        <f ca="1">[1]!b_calc_curve_chinabond("1102",H$1,$B128)</f>
        <v>2.2202000000000002</v>
      </c>
      <c r="I128" s="7">
        <f ca="1">[1]!b_calc_curve_chinabond("1102",I$1,$B128)</f>
        <v>2.2136999999999998</v>
      </c>
      <c r="J128" s="7">
        <f ca="1">[1]!b_calc_curve_chinabond("1102",J$1,$B128)</f>
        <v>2.2040000000000002</v>
      </c>
      <c r="K128" s="7">
        <f ca="1">[1]!b_calc_curve_chinabond("1102",K$1,$B128)</f>
        <v>2.1756000000000002</v>
      </c>
      <c r="L128" s="7">
        <f ca="1">[1]!b_calc_curve_chinabond("1102",L$1,$B128)</f>
        <v>0</v>
      </c>
      <c r="M128" s="7">
        <f ca="1">[1]!b_calc_curve_chinabond("1102",M$1,$B128)</f>
        <v>0</v>
      </c>
      <c r="N128" s="7">
        <f ca="1">[1]!b_calc_curve_chinabond("1102",N$1,$B128)</f>
        <v>2.1659000000000002</v>
      </c>
      <c r="O128" s="7">
        <f ca="1">[1]!b_calc_curve_chinabond("1102",O$1,$B128)</f>
        <v>2.1509</v>
      </c>
      <c r="P128" s="7">
        <f ca="1">[1]!b_calc_curve_chinabond("1102",P$1,$B128)</f>
        <v>2.1497000000000002</v>
      </c>
      <c r="Q128" s="7">
        <f ca="1">[1]!b_calc_curve_chinabond("1102",Q$1,$B128)</f>
        <v>2.1371000000000002</v>
      </c>
      <c r="R128" s="7">
        <f ca="1">[1]!b_calc_curve_chinabond("1102",R$1,$B128)</f>
        <v>2.1496</v>
      </c>
      <c r="S128" s="7">
        <f ca="1">[1]!b_calc_curve_chinabond("1102",S$1,$B128)</f>
        <v>0</v>
      </c>
      <c r="T128" s="7">
        <f ca="1">[1]!b_calc_curve_chinabond("1102",T$1,$B128)</f>
        <v>0</v>
      </c>
      <c r="U128" s="7">
        <f ca="1">[1]!b_calc_curve_chinabond("1102",U$1,$B128)</f>
        <v>2.1598999999999999</v>
      </c>
      <c r="V128" s="7">
        <f ca="1">[1]!b_calc_curve_chinabond("1102",V$1,$B128)</f>
        <v>2.1724000000000001</v>
      </c>
      <c r="W128" s="7">
        <f ca="1">[1]!b_calc_curve_chinabond("1102",W$1,$B128)</f>
        <v>2.1699000000000002</v>
      </c>
      <c r="X128" s="7">
        <f ca="1">[1]!b_calc_curve_chinabond("1102",X$1,$B128)</f>
        <v>2.2185999999999999</v>
      </c>
      <c r="Y128" s="7">
        <f ca="1">[1]!b_calc_curve_chinabond("1102",Y$1,$B128)</f>
        <v>2.2065999999999999</v>
      </c>
      <c r="Z128" s="7">
        <f ca="1">[1]!b_calc_curve_chinabond("1102",Z$1,$B128)</f>
        <v>0</v>
      </c>
      <c r="AA128" s="7">
        <f ca="1">[1]!b_calc_curve_chinabond("1102",AA$1,$B128)</f>
        <v>0</v>
      </c>
      <c r="AB128" s="7">
        <f ca="1">[1]!b_calc_curve_chinabond("1102",AB$1,$B128)</f>
        <v>2.2054</v>
      </c>
      <c r="AC128" s="7">
        <f ca="1">[1]!b_calc_curve_chinabond("1102",AC$1,$B128)</f>
        <v>2.1842999999999999</v>
      </c>
      <c r="AD128" s="7">
        <f ca="1">[1]!b_calc_curve_chinabond("1102",AD$1,$B128)</f>
        <v>2.1857000000000002</v>
      </c>
      <c r="AE128" s="7">
        <f ca="1">[1]!b_calc_curve_chinabond("1102",AE$1,$B128)</f>
        <v>2.1798000000000002</v>
      </c>
      <c r="AF128" s="7">
        <f ca="1">[1]!b_calc_curve_chinabond("1102",AF$1,$B128)</f>
        <v>0</v>
      </c>
      <c r="AG128" s="7">
        <f ca="1">[1]!b_calc_curve_chinabond("1102",AG$1,$B128)</f>
        <v>0</v>
      </c>
      <c r="AH128" s="7">
        <f ca="1">[1]!b_calc_curve_chinabond("1102",AH$1,$B128)</f>
        <v>0</v>
      </c>
      <c r="AI128" s="7">
        <f ca="1">[1]!b_calc_curve_chinabond("1102",AI$1,$B128)</f>
        <v>0</v>
      </c>
    </row>
    <row r="129" spans="1:35" ht="19.5" customHeight="1">
      <c r="A129" s="3" t="s">
        <v>129</v>
      </c>
      <c r="B129" s="4">
        <v>12.1</v>
      </c>
      <c r="C129" s="7">
        <f ca="1">[1]!b_calc_curve_chinabond("1102",C$1,$B129)</f>
        <v>2.2446999999999999</v>
      </c>
      <c r="D129" s="7">
        <f ca="1">[1]!b_calc_curve_chinabond("1102",D$1,$B129)</f>
        <v>2.2488000000000001</v>
      </c>
      <c r="E129" s="7">
        <f ca="1">[1]!b_calc_curve_chinabond("1102",E$1,$B129)</f>
        <v>0</v>
      </c>
      <c r="F129" s="7">
        <f ca="1">[1]!b_calc_curve_chinabond("1102",F$1,$B129)</f>
        <v>0</v>
      </c>
      <c r="G129" s="7">
        <f ca="1">[1]!b_calc_curve_chinabond("1102",G$1,$B129)</f>
        <v>2.2482000000000002</v>
      </c>
      <c r="H129" s="7">
        <f ca="1">[1]!b_calc_curve_chinabond("1102",H$1,$B129)</f>
        <v>2.2237</v>
      </c>
      <c r="I129" s="7">
        <f ca="1">[1]!b_calc_curve_chinabond("1102",I$1,$B129)</f>
        <v>2.2174999999999998</v>
      </c>
      <c r="J129" s="7">
        <f ca="1">[1]!b_calc_curve_chinabond("1102",J$1,$B129)</f>
        <v>2.2078000000000002</v>
      </c>
      <c r="K129" s="7">
        <f ca="1">[1]!b_calc_curve_chinabond("1102",K$1,$B129)</f>
        <v>2.1793999999999998</v>
      </c>
      <c r="L129" s="7">
        <f ca="1">[1]!b_calc_curve_chinabond("1102",L$1,$B129)</f>
        <v>0</v>
      </c>
      <c r="M129" s="7">
        <f ca="1">[1]!b_calc_curve_chinabond("1102",M$1,$B129)</f>
        <v>0</v>
      </c>
      <c r="N129" s="7">
        <f ca="1">[1]!b_calc_curve_chinabond("1102",N$1,$B129)</f>
        <v>2.1696</v>
      </c>
      <c r="O129" s="7">
        <f ca="1">[1]!b_calc_curve_chinabond("1102",O$1,$B129)</f>
        <v>2.1543000000000001</v>
      </c>
      <c r="P129" s="7">
        <f ca="1">[1]!b_calc_curve_chinabond("1102",P$1,$B129)</f>
        <v>2.1532</v>
      </c>
      <c r="Q129" s="7">
        <f ca="1">[1]!b_calc_curve_chinabond("1102",Q$1,$B129)</f>
        <v>2.1406999999999998</v>
      </c>
      <c r="R129" s="7">
        <f ca="1">[1]!b_calc_curve_chinabond("1102",R$1,$B129)</f>
        <v>2.1528999999999998</v>
      </c>
      <c r="S129" s="7">
        <f ca="1">[1]!b_calc_curve_chinabond("1102",S$1,$B129)</f>
        <v>0</v>
      </c>
      <c r="T129" s="7">
        <f ca="1">[1]!b_calc_curve_chinabond("1102",T$1,$B129)</f>
        <v>0</v>
      </c>
      <c r="U129" s="7">
        <f ca="1">[1]!b_calc_curve_chinabond("1102",U$1,$B129)</f>
        <v>2.1631999999999998</v>
      </c>
      <c r="V129" s="7">
        <f ca="1">[1]!b_calc_curve_chinabond("1102",V$1,$B129)</f>
        <v>2.1753999999999998</v>
      </c>
      <c r="W129" s="7">
        <f ca="1">[1]!b_calc_curve_chinabond("1102",W$1,$B129)</f>
        <v>2.1732</v>
      </c>
      <c r="X129" s="7">
        <f ca="1">[1]!b_calc_curve_chinabond("1102",X$1,$B129)</f>
        <v>2.2214999999999998</v>
      </c>
      <c r="Y129" s="7">
        <f ca="1">[1]!b_calc_curve_chinabond("1102",Y$1,$B129)</f>
        <v>2.2099000000000002</v>
      </c>
      <c r="Z129" s="7">
        <f ca="1">[1]!b_calc_curve_chinabond("1102",Z$1,$B129)</f>
        <v>0</v>
      </c>
      <c r="AA129" s="7">
        <f ca="1">[1]!b_calc_curve_chinabond("1102",AA$1,$B129)</f>
        <v>0</v>
      </c>
      <c r="AB129" s="7">
        <f ca="1">[1]!b_calc_curve_chinabond("1102",AB$1,$B129)</f>
        <v>2.2086000000000001</v>
      </c>
      <c r="AC129" s="7">
        <f ca="1">[1]!b_calc_curve_chinabond("1102",AC$1,$B129)</f>
        <v>2.1878000000000002</v>
      </c>
      <c r="AD129" s="7">
        <f ca="1">[1]!b_calc_curve_chinabond("1102",AD$1,$B129)</f>
        <v>2.1886999999999999</v>
      </c>
      <c r="AE129" s="7">
        <f ca="1">[1]!b_calc_curve_chinabond("1102",AE$1,$B129)</f>
        <v>2.1825999999999999</v>
      </c>
      <c r="AF129" s="7">
        <f ca="1">[1]!b_calc_curve_chinabond("1102",AF$1,$B129)</f>
        <v>0</v>
      </c>
      <c r="AG129" s="7">
        <f ca="1">[1]!b_calc_curve_chinabond("1102",AG$1,$B129)</f>
        <v>0</v>
      </c>
      <c r="AH129" s="7">
        <f ca="1">[1]!b_calc_curve_chinabond("1102",AH$1,$B129)</f>
        <v>0</v>
      </c>
      <c r="AI129" s="7">
        <f ca="1">[1]!b_calc_curve_chinabond("1102",AI$1,$B129)</f>
        <v>0</v>
      </c>
    </row>
    <row r="130" spans="1:35" ht="19.5" customHeight="1">
      <c r="A130" s="1" t="s">
        <v>130</v>
      </c>
      <c r="B130" s="2">
        <v>12.2</v>
      </c>
      <c r="C130" s="7">
        <f ca="1">[1]!b_calc_curve_chinabond("1102",C$1,$B130)</f>
        <v>2.2477</v>
      </c>
      <c r="D130" s="7">
        <f ca="1">[1]!b_calc_curve_chinabond("1102",D$1,$B130)</f>
        <v>2.2517999999999998</v>
      </c>
      <c r="E130" s="7">
        <f ca="1">[1]!b_calc_curve_chinabond("1102",E$1,$B130)</f>
        <v>0</v>
      </c>
      <c r="F130" s="7">
        <f ca="1">[1]!b_calc_curve_chinabond("1102",F$1,$B130)</f>
        <v>0</v>
      </c>
      <c r="G130" s="7">
        <f ca="1">[1]!b_calc_curve_chinabond("1102",G$1,$B130)</f>
        <v>2.2509999999999999</v>
      </c>
      <c r="H130" s="7">
        <f ca="1">[1]!b_calc_curve_chinabond("1102",H$1,$B130)</f>
        <v>2.2273000000000001</v>
      </c>
      <c r="I130" s="7">
        <f ca="1">[1]!b_calc_curve_chinabond("1102",I$1,$B130)</f>
        <v>2.2212999999999998</v>
      </c>
      <c r="J130" s="7">
        <f ca="1">[1]!b_calc_curve_chinabond("1102",J$1,$B130)</f>
        <v>2.2115999999999998</v>
      </c>
      <c r="K130" s="7">
        <f ca="1">[1]!b_calc_curve_chinabond("1102",K$1,$B130)</f>
        <v>2.1833</v>
      </c>
      <c r="L130" s="7">
        <f ca="1">[1]!b_calc_curve_chinabond("1102",L$1,$B130)</f>
        <v>0</v>
      </c>
      <c r="M130" s="7">
        <f ca="1">[1]!b_calc_curve_chinabond("1102",M$1,$B130)</f>
        <v>0</v>
      </c>
      <c r="N130" s="7">
        <f ca="1">[1]!b_calc_curve_chinabond("1102",N$1,$B130)</f>
        <v>2.1732999999999998</v>
      </c>
      <c r="O130" s="7">
        <f ca="1">[1]!b_calc_curve_chinabond("1102",O$1,$B130)</f>
        <v>2.1577999999999999</v>
      </c>
      <c r="P130" s="7">
        <f ca="1">[1]!b_calc_curve_chinabond("1102",P$1,$B130)</f>
        <v>2.1566999999999998</v>
      </c>
      <c r="Q130" s="7">
        <f ca="1">[1]!b_calc_curve_chinabond("1102",Q$1,$B130)</f>
        <v>2.1444999999999999</v>
      </c>
      <c r="R130" s="7">
        <f ca="1">[1]!b_calc_curve_chinabond("1102",R$1,$B130)</f>
        <v>2.1562999999999999</v>
      </c>
      <c r="S130" s="7">
        <f ca="1">[1]!b_calc_curve_chinabond("1102",S$1,$B130)</f>
        <v>0</v>
      </c>
      <c r="T130" s="7">
        <f ca="1">[1]!b_calc_curve_chinabond("1102",T$1,$B130)</f>
        <v>0</v>
      </c>
      <c r="U130" s="7">
        <f ca="1">[1]!b_calc_curve_chinabond("1102",U$1,$B130)</f>
        <v>2.1665000000000001</v>
      </c>
      <c r="V130" s="7">
        <f ca="1">[1]!b_calc_curve_chinabond("1102",V$1,$B130)</f>
        <v>2.1785000000000001</v>
      </c>
      <c r="W130" s="7">
        <f ca="1">[1]!b_calc_curve_chinabond("1102",W$1,$B130)</f>
        <v>2.1766000000000001</v>
      </c>
      <c r="X130" s="7">
        <f ca="1">[1]!b_calc_curve_chinabond("1102",X$1,$B130)</f>
        <v>2.2242999999999999</v>
      </c>
      <c r="Y130" s="7">
        <f ca="1">[1]!b_calc_curve_chinabond("1102",Y$1,$B130)</f>
        <v>2.2132999999999998</v>
      </c>
      <c r="Z130" s="7">
        <f ca="1">[1]!b_calc_curve_chinabond("1102",Z$1,$B130)</f>
        <v>0</v>
      </c>
      <c r="AA130" s="7">
        <f ca="1">[1]!b_calc_curve_chinabond("1102",AA$1,$B130)</f>
        <v>0</v>
      </c>
      <c r="AB130" s="7">
        <f ca="1">[1]!b_calc_curve_chinabond("1102",AB$1,$B130)</f>
        <v>2.2118000000000002</v>
      </c>
      <c r="AC130" s="7">
        <f ca="1">[1]!b_calc_curve_chinabond("1102",AC$1,$B130)</f>
        <v>2.1913999999999998</v>
      </c>
      <c r="AD130" s="7">
        <f ca="1">[1]!b_calc_curve_chinabond("1102",AD$1,$B130)</f>
        <v>2.1917</v>
      </c>
      <c r="AE130" s="7">
        <f ca="1">[1]!b_calc_curve_chinabond("1102",AE$1,$B130)</f>
        <v>2.1854</v>
      </c>
      <c r="AF130" s="7">
        <f ca="1">[1]!b_calc_curve_chinabond("1102",AF$1,$B130)</f>
        <v>0</v>
      </c>
      <c r="AG130" s="7">
        <f ca="1">[1]!b_calc_curve_chinabond("1102",AG$1,$B130)</f>
        <v>0</v>
      </c>
      <c r="AH130" s="7">
        <f ca="1">[1]!b_calc_curve_chinabond("1102",AH$1,$B130)</f>
        <v>0</v>
      </c>
      <c r="AI130" s="7">
        <f ca="1">[1]!b_calc_curve_chinabond("1102",AI$1,$B130)</f>
        <v>0</v>
      </c>
    </row>
    <row r="131" spans="1:35" ht="19.5" customHeight="1">
      <c r="A131" s="3" t="s">
        <v>131</v>
      </c>
      <c r="B131" s="4">
        <v>12.3</v>
      </c>
      <c r="C131" s="7">
        <f ca="1">[1]!b_calc_curve_chinabond("1102",C$1,$B131)</f>
        <v>2.2507999999999999</v>
      </c>
      <c r="D131" s="7">
        <f ca="1">[1]!b_calc_curve_chinabond("1102",D$1,$B131)</f>
        <v>2.2547999999999999</v>
      </c>
      <c r="E131" s="7">
        <f ca="1">[1]!b_calc_curve_chinabond("1102",E$1,$B131)</f>
        <v>0</v>
      </c>
      <c r="F131" s="7">
        <f ca="1">[1]!b_calc_curve_chinabond("1102",F$1,$B131)</f>
        <v>0</v>
      </c>
      <c r="G131" s="7">
        <f ca="1">[1]!b_calc_curve_chinabond("1102",G$1,$B131)</f>
        <v>2.2538</v>
      </c>
      <c r="H131" s="7">
        <f ca="1">[1]!b_calc_curve_chinabond("1102",H$1,$B131)</f>
        <v>2.2309999999999999</v>
      </c>
      <c r="I131" s="7">
        <f ca="1">[1]!b_calc_curve_chinabond("1102",I$1,$B131)</f>
        <v>2.2250999999999999</v>
      </c>
      <c r="J131" s="7">
        <f ca="1">[1]!b_calc_curve_chinabond("1102",J$1,$B131)</f>
        <v>2.2153999999999998</v>
      </c>
      <c r="K131" s="7">
        <f ca="1">[1]!b_calc_curve_chinabond("1102",K$1,$B131)</f>
        <v>2.1873</v>
      </c>
      <c r="L131" s="7">
        <f ca="1">[1]!b_calc_curve_chinabond("1102",L$1,$B131)</f>
        <v>0</v>
      </c>
      <c r="M131" s="7">
        <f ca="1">[1]!b_calc_curve_chinabond("1102",M$1,$B131)</f>
        <v>0</v>
      </c>
      <c r="N131" s="7">
        <f ca="1">[1]!b_calc_curve_chinabond("1102",N$1,$B131)</f>
        <v>2.1770999999999998</v>
      </c>
      <c r="O131" s="7">
        <f ca="1">[1]!b_calc_curve_chinabond("1102",O$1,$B131)</f>
        <v>2.1614</v>
      </c>
      <c r="P131" s="7">
        <f ca="1">[1]!b_calc_curve_chinabond("1102",P$1,$B131)</f>
        <v>2.1602000000000001</v>
      </c>
      <c r="Q131" s="7">
        <f ca="1">[1]!b_calc_curve_chinabond("1102",Q$1,$B131)</f>
        <v>2.1482999999999999</v>
      </c>
      <c r="R131" s="7">
        <f ca="1">[1]!b_calc_curve_chinabond("1102",R$1,$B131)</f>
        <v>2.1596000000000002</v>
      </c>
      <c r="S131" s="7">
        <f ca="1">[1]!b_calc_curve_chinabond("1102",S$1,$B131)</f>
        <v>0</v>
      </c>
      <c r="T131" s="7">
        <f ca="1">[1]!b_calc_curve_chinabond("1102",T$1,$B131)</f>
        <v>0</v>
      </c>
      <c r="U131" s="7">
        <f ca="1">[1]!b_calc_curve_chinabond("1102",U$1,$B131)</f>
        <v>2.1699000000000002</v>
      </c>
      <c r="V131" s="7">
        <f ca="1">[1]!b_calc_curve_chinabond("1102",V$1,$B131)</f>
        <v>2.1816</v>
      </c>
      <c r="W131" s="7">
        <f ca="1">[1]!b_calc_curve_chinabond("1102",W$1,$B131)</f>
        <v>2.1800000000000002</v>
      </c>
      <c r="X131" s="7">
        <f ca="1">[1]!b_calc_curve_chinabond("1102",X$1,$B131)</f>
        <v>2.2271000000000001</v>
      </c>
      <c r="Y131" s="7">
        <f ca="1">[1]!b_calc_curve_chinabond("1102",Y$1,$B131)</f>
        <v>2.2166999999999999</v>
      </c>
      <c r="Z131" s="7">
        <f ca="1">[1]!b_calc_curve_chinabond("1102",Z$1,$B131)</f>
        <v>0</v>
      </c>
      <c r="AA131" s="7">
        <f ca="1">[1]!b_calc_curve_chinabond("1102",AA$1,$B131)</f>
        <v>0</v>
      </c>
      <c r="AB131" s="7">
        <f ca="1">[1]!b_calc_curve_chinabond("1102",AB$1,$B131)</f>
        <v>2.2151000000000001</v>
      </c>
      <c r="AC131" s="7">
        <f ca="1">[1]!b_calc_curve_chinabond("1102",AC$1,$B131)</f>
        <v>2.1949999999999998</v>
      </c>
      <c r="AD131" s="7">
        <f ca="1">[1]!b_calc_curve_chinabond("1102",AD$1,$B131)</f>
        <v>2.1947999999999999</v>
      </c>
      <c r="AE131" s="7">
        <f ca="1">[1]!b_calc_curve_chinabond("1102",AE$1,$B131)</f>
        <v>2.1882000000000001</v>
      </c>
      <c r="AF131" s="7">
        <f ca="1">[1]!b_calc_curve_chinabond("1102",AF$1,$B131)</f>
        <v>0</v>
      </c>
      <c r="AG131" s="7">
        <f ca="1">[1]!b_calc_curve_chinabond("1102",AG$1,$B131)</f>
        <v>0</v>
      </c>
      <c r="AH131" s="7">
        <f ca="1">[1]!b_calc_curve_chinabond("1102",AH$1,$B131)</f>
        <v>0</v>
      </c>
      <c r="AI131" s="7">
        <f ca="1">[1]!b_calc_curve_chinabond("1102",AI$1,$B131)</f>
        <v>0</v>
      </c>
    </row>
    <row r="132" spans="1:35" ht="19.5" customHeight="1">
      <c r="A132" s="1" t="s">
        <v>132</v>
      </c>
      <c r="B132" s="2">
        <v>12.4</v>
      </c>
      <c r="C132" s="7">
        <f ca="1">[1]!b_calc_curve_chinabond("1102",C$1,$B132)</f>
        <v>2.2538999999999998</v>
      </c>
      <c r="D132" s="7">
        <f ca="1">[1]!b_calc_curve_chinabond("1102",D$1,$B132)</f>
        <v>2.2578</v>
      </c>
      <c r="E132" s="7">
        <f ca="1">[1]!b_calc_curve_chinabond("1102",E$1,$B132)</f>
        <v>0</v>
      </c>
      <c r="F132" s="7">
        <f ca="1">[1]!b_calc_curve_chinabond("1102",F$1,$B132)</f>
        <v>0</v>
      </c>
      <c r="G132" s="7">
        <f ca="1">[1]!b_calc_curve_chinabond("1102",G$1,$B132)</f>
        <v>2.2565</v>
      </c>
      <c r="H132" s="7">
        <f ca="1">[1]!b_calc_curve_chinabond("1102",H$1,$B132)</f>
        <v>2.2345999999999999</v>
      </c>
      <c r="I132" s="7">
        <f ca="1">[1]!b_calc_curve_chinabond("1102",I$1,$B132)</f>
        <v>2.2290000000000001</v>
      </c>
      <c r="J132" s="7">
        <f ca="1">[1]!b_calc_curve_chinabond("1102",J$1,$B132)</f>
        <v>2.2193000000000001</v>
      </c>
      <c r="K132" s="7">
        <f ca="1">[1]!b_calc_curve_chinabond("1102",K$1,$B132)</f>
        <v>2.1913</v>
      </c>
      <c r="L132" s="7">
        <f ca="1">[1]!b_calc_curve_chinabond("1102",L$1,$B132)</f>
        <v>0</v>
      </c>
      <c r="M132" s="7">
        <f ca="1">[1]!b_calc_curve_chinabond("1102",M$1,$B132)</f>
        <v>0</v>
      </c>
      <c r="N132" s="7">
        <f ca="1">[1]!b_calc_curve_chinabond("1102",N$1,$B132)</f>
        <v>2.181</v>
      </c>
      <c r="O132" s="7">
        <f ca="1">[1]!b_calc_curve_chinabond("1102",O$1,$B132)</f>
        <v>2.165</v>
      </c>
      <c r="P132" s="7">
        <f ca="1">[1]!b_calc_curve_chinabond("1102",P$1,$B132)</f>
        <v>2.1638000000000002</v>
      </c>
      <c r="Q132" s="7">
        <f ca="1">[1]!b_calc_curve_chinabond("1102",Q$1,$B132)</f>
        <v>2.1522000000000001</v>
      </c>
      <c r="R132" s="7">
        <f ca="1">[1]!b_calc_curve_chinabond("1102",R$1,$B132)</f>
        <v>2.1629999999999998</v>
      </c>
      <c r="S132" s="7">
        <f ca="1">[1]!b_calc_curve_chinabond("1102",S$1,$B132)</f>
        <v>0</v>
      </c>
      <c r="T132" s="7">
        <f ca="1">[1]!b_calc_curve_chinabond("1102",T$1,$B132)</f>
        <v>0</v>
      </c>
      <c r="U132" s="7">
        <f ca="1">[1]!b_calc_curve_chinabond("1102",U$1,$B132)</f>
        <v>2.1732999999999998</v>
      </c>
      <c r="V132" s="7">
        <f ca="1">[1]!b_calc_curve_chinabond("1102",V$1,$B132)</f>
        <v>2.1848000000000001</v>
      </c>
      <c r="W132" s="7">
        <f ca="1">[1]!b_calc_curve_chinabond("1102",W$1,$B132)</f>
        <v>2.1835</v>
      </c>
      <c r="X132" s="7">
        <f ca="1">[1]!b_calc_curve_chinabond("1102",X$1,$B132)</f>
        <v>2.23</v>
      </c>
      <c r="Y132" s="7">
        <f ca="1">[1]!b_calc_curve_chinabond("1102",Y$1,$B132)</f>
        <v>2.2202000000000002</v>
      </c>
      <c r="Z132" s="7">
        <f ca="1">[1]!b_calc_curve_chinabond("1102",Z$1,$B132)</f>
        <v>0</v>
      </c>
      <c r="AA132" s="7">
        <f ca="1">[1]!b_calc_curve_chinabond("1102",AA$1,$B132)</f>
        <v>0</v>
      </c>
      <c r="AB132" s="7">
        <f ca="1">[1]!b_calc_curve_chinabond("1102",AB$1,$B132)</f>
        <v>2.2183999999999999</v>
      </c>
      <c r="AC132" s="7">
        <f ca="1">[1]!b_calc_curve_chinabond("1102",AC$1,$B132)</f>
        <v>2.1987000000000001</v>
      </c>
      <c r="AD132" s="7">
        <f ca="1">[1]!b_calc_curve_chinabond("1102",AD$1,$B132)</f>
        <v>2.1978</v>
      </c>
      <c r="AE132" s="7">
        <f ca="1">[1]!b_calc_curve_chinabond("1102",AE$1,$B132)</f>
        <v>2.1909000000000001</v>
      </c>
      <c r="AF132" s="7">
        <f ca="1">[1]!b_calc_curve_chinabond("1102",AF$1,$B132)</f>
        <v>0</v>
      </c>
      <c r="AG132" s="7">
        <f ca="1">[1]!b_calc_curve_chinabond("1102",AG$1,$B132)</f>
        <v>0</v>
      </c>
      <c r="AH132" s="7">
        <f ca="1">[1]!b_calc_curve_chinabond("1102",AH$1,$B132)</f>
        <v>0</v>
      </c>
      <c r="AI132" s="7">
        <f ca="1">[1]!b_calc_curve_chinabond("1102",AI$1,$B132)</f>
        <v>0</v>
      </c>
    </row>
    <row r="133" spans="1:35" ht="19.5" customHeight="1">
      <c r="A133" s="3" t="s">
        <v>133</v>
      </c>
      <c r="B133" s="4">
        <v>12.5</v>
      </c>
      <c r="C133" s="7">
        <f ca="1">[1]!b_calc_curve_chinabond("1102",C$1,$B133)</f>
        <v>2.2570000000000001</v>
      </c>
      <c r="D133" s="7">
        <f ca="1">[1]!b_calc_curve_chinabond("1102",D$1,$B133)</f>
        <v>2.2608000000000001</v>
      </c>
      <c r="E133" s="7">
        <f ca="1">[1]!b_calc_curve_chinabond("1102",E$1,$B133)</f>
        <v>0</v>
      </c>
      <c r="F133" s="7">
        <f ca="1">[1]!b_calc_curve_chinabond("1102",F$1,$B133)</f>
        <v>0</v>
      </c>
      <c r="G133" s="7">
        <f ca="1">[1]!b_calc_curve_chinabond("1102",G$1,$B133)</f>
        <v>2.2591999999999999</v>
      </c>
      <c r="H133" s="7">
        <f ca="1">[1]!b_calc_curve_chinabond("1102",H$1,$B133)</f>
        <v>2.2382</v>
      </c>
      <c r="I133" s="7">
        <f ca="1">[1]!b_calc_curve_chinabond("1102",I$1,$B133)</f>
        <v>2.2328999999999999</v>
      </c>
      <c r="J133" s="7">
        <f ca="1">[1]!b_calc_curve_chinabond("1102",J$1,$B133)</f>
        <v>2.2231999999999998</v>
      </c>
      <c r="K133" s="7">
        <f ca="1">[1]!b_calc_curve_chinabond("1102",K$1,$B133)</f>
        <v>2.1953</v>
      </c>
      <c r="L133" s="7">
        <f ca="1">[1]!b_calc_curve_chinabond("1102",L$1,$B133)</f>
        <v>0</v>
      </c>
      <c r="M133" s="7">
        <f ca="1">[1]!b_calc_curve_chinabond("1102",M$1,$B133)</f>
        <v>0</v>
      </c>
      <c r="N133" s="7">
        <f ca="1">[1]!b_calc_curve_chinabond("1102",N$1,$B133)</f>
        <v>2.1848999999999998</v>
      </c>
      <c r="O133" s="7">
        <f ca="1">[1]!b_calc_curve_chinabond("1102",O$1,$B133)</f>
        <v>2.1686999999999999</v>
      </c>
      <c r="P133" s="7">
        <f ca="1">[1]!b_calc_curve_chinabond("1102",P$1,$B133)</f>
        <v>2.1674000000000002</v>
      </c>
      <c r="Q133" s="7">
        <f ca="1">[1]!b_calc_curve_chinabond("1102",Q$1,$B133)</f>
        <v>2.1560999999999999</v>
      </c>
      <c r="R133" s="7">
        <f ca="1">[1]!b_calc_curve_chinabond("1102",R$1,$B133)</f>
        <v>2.1663999999999999</v>
      </c>
      <c r="S133" s="7">
        <f ca="1">[1]!b_calc_curve_chinabond("1102",S$1,$B133)</f>
        <v>0</v>
      </c>
      <c r="T133" s="7">
        <f ca="1">[1]!b_calc_curve_chinabond("1102",T$1,$B133)</f>
        <v>0</v>
      </c>
      <c r="U133" s="7">
        <f ca="1">[1]!b_calc_curve_chinabond("1102",U$1,$B133)</f>
        <v>2.1766999999999999</v>
      </c>
      <c r="V133" s="7">
        <f ca="1">[1]!b_calc_curve_chinabond("1102",V$1,$B133)</f>
        <v>2.1879</v>
      </c>
      <c r="W133" s="7">
        <f ca="1">[1]!b_calc_curve_chinabond("1102",W$1,$B133)</f>
        <v>2.1871</v>
      </c>
      <c r="X133" s="7">
        <f ca="1">[1]!b_calc_curve_chinabond("1102",X$1,$B133)</f>
        <v>2.2328000000000001</v>
      </c>
      <c r="Y133" s="7">
        <f ca="1">[1]!b_calc_curve_chinabond("1102",Y$1,$B133)</f>
        <v>2.2237</v>
      </c>
      <c r="Z133" s="7">
        <f ca="1">[1]!b_calc_curve_chinabond("1102",Z$1,$B133)</f>
        <v>0</v>
      </c>
      <c r="AA133" s="7">
        <f ca="1">[1]!b_calc_curve_chinabond("1102",AA$1,$B133)</f>
        <v>0</v>
      </c>
      <c r="AB133" s="7">
        <f ca="1">[1]!b_calc_curve_chinabond("1102",AB$1,$B133)</f>
        <v>2.2216999999999998</v>
      </c>
      <c r="AC133" s="7">
        <f ca="1">[1]!b_calc_curve_chinabond("1102",AC$1,$B133)</f>
        <v>2.2023999999999999</v>
      </c>
      <c r="AD133" s="7">
        <f ca="1">[1]!b_calc_curve_chinabond("1102",AD$1,$B133)</f>
        <v>2.2008999999999999</v>
      </c>
      <c r="AE133" s="7">
        <f ca="1">[1]!b_calc_curve_chinabond("1102",AE$1,$B133)</f>
        <v>2.1937000000000002</v>
      </c>
      <c r="AF133" s="7">
        <f ca="1">[1]!b_calc_curve_chinabond("1102",AF$1,$B133)</f>
        <v>0</v>
      </c>
      <c r="AG133" s="7">
        <f ca="1">[1]!b_calc_curve_chinabond("1102",AG$1,$B133)</f>
        <v>0</v>
      </c>
      <c r="AH133" s="7">
        <f ca="1">[1]!b_calc_curve_chinabond("1102",AH$1,$B133)</f>
        <v>0</v>
      </c>
      <c r="AI133" s="7">
        <f ca="1">[1]!b_calc_curve_chinabond("1102",AI$1,$B133)</f>
        <v>0</v>
      </c>
    </row>
    <row r="134" spans="1:35" ht="19.5" customHeight="1">
      <c r="A134" s="1" t="s">
        <v>134</v>
      </c>
      <c r="B134" s="2">
        <v>12.6</v>
      </c>
      <c r="C134" s="7">
        <f ca="1">[1]!b_calc_curve_chinabond("1102",C$1,$B134)</f>
        <v>2.2601</v>
      </c>
      <c r="D134" s="7">
        <f ca="1">[1]!b_calc_curve_chinabond("1102",D$1,$B134)</f>
        <v>2.2637999999999998</v>
      </c>
      <c r="E134" s="7">
        <f ca="1">[1]!b_calc_curve_chinabond("1102",E$1,$B134)</f>
        <v>0</v>
      </c>
      <c r="F134" s="7">
        <f ca="1">[1]!b_calc_curve_chinabond("1102",F$1,$B134)</f>
        <v>0</v>
      </c>
      <c r="G134" s="7">
        <f ca="1">[1]!b_calc_curve_chinabond("1102",G$1,$B134)</f>
        <v>2.2618999999999998</v>
      </c>
      <c r="H134" s="7">
        <f ca="1">[1]!b_calc_curve_chinabond("1102",H$1,$B134)</f>
        <v>2.2418999999999998</v>
      </c>
      <c r="I134" s="7">
        <f ca="1">[1]!b_calc_curve_chinabond("1102",I$1,$B134)</f>
        <v>2.2368000000000001</v>
      </c>
      <c r="J134" s="7">
        <f ca="1">[1]!b_calc_curve_chinabond("1102",J$1,$B134)</f>
        <v>2.2271000000000001</v>
      </c>
      <c r="K134" s="7">
        <f ca="1">[1]!b_calc_curve_chinabond("1102",K$1,$B134)</f>
        <v>2.1993999999999998</v>
      </c>
      <c r="L134" s="7">
        <f ca="1">[1]!b_calc_curve_chinabond("1102",L$1,$B134)</f>
        <v>0</v>
      </c>
      <c r="M134" s="7">
        <f ca="1">[1]!b_calc_curve_chinabond("1102",M$1,$B134)</f>
        <v>0</v>
      </c>
      <c r="N134" s="7">
        <f ca="1">[1]!b_calc_curve_chinabond("1102",N$1,$B134)</f>
        <v>2.1888000000000001</v>
      </c>
      <c r="O134" s="7">
        <f ca="1">[1]!b_calc_curve_chinabond("1102",O$1,$B134)</f>
        <v>2.1724000000000001</v>
      </c>
      <c r="P134" s="7">
        <f ca="1">[1]!b_calc_curve_chinabond("1102",P$1,$B134)</f>
        <v>2.1711</v>
      </c>
      <c r="Q134" s="7">
        <f ca="1">[1]!b_calc_curve_chinabond("1102",Q$1,$B134)</f>
        <v>2.1600999999999999</v>
      </c>
      <c r="R134" s="7">
        <f ca="1">[1]!b_calc_curve_chinabond("1102",R$1,$B134)</f>
        <v>2.1698</v>
      </c>
      <c r="S134" s="7">
        <f ca="1">[1]!b_calc_curve_chinabond("1102",S$1,$B134)</f>
        <v>0</v>
      </c>
      <c r="T134" s="7">
        <f ca="1">[1]!b_calc_curve_chinabond("1102",T$1,$B134)</f>
        <v>0</v>
      </c>
      <c r="U134" s="7">
        <f ca="1">[1]!b_calc_curve_chinabond("1102",U$1,$B134)</f>
        <v>2.1800999999999999</v>
      </c>
      <c r="V134" s="7">
        <f ca="1">[1]!b_calc_curve_chinabond("1102",V$1,$B134)</f>
        <v>2.1911</v>
      </c>
      <c r="W134" s="7">
        <f ca="1">[1]!b_calc_curve_chinabond("1102",W$1,$B134)</f>
        <v>2.1907000000000001</v>
      </c>
      <c r="X134" s="7">
        <f ca="1">[1]!b_calc_curve_chinabond("1102",X$1,$B134)</f>
        <v>2.2355999999999998</v>
      </c>
      <c r="Y134" s="7">
        <f ca="1">[1]!b_calc_curve_chinabond("1102",Y$1,$B134)</f>
        <v>2.2271999999999998</v>
      </c>
      <c r="Z134" s="7">
        <f ca="1">[1]!b_calc_curve_chinabond("1102",Z$1,$B134)</f>
        <v>0</v>
      </c>
      <c r="AA134" s="7">
        <f ca="1">[1]!b_calc_curve_chinabond("1102",AA$1,$B134)</f>
        <v>0</v>
      </c>
      <c r="AB134" s="7">
        <f ca="1">[1]!b_calc_curve_chinabond("1102",AB$1,$B134)</f>
        <v>2.2250999999999999</v>
      </c>
      <c r="AC134" s="7">
        <f ca="1">[1]!b_calc_curve_chinabond("1102",AC$1,$B134)</f>
        <v>2.2061000000000002</v>
      </c>
      <c r="AD134" s="7">
        <f ca="1">[1]!b_calc_curve_chinabond("1102",AD$1,$B134)</f>
        <v>2.2039</v>
      </c>
      <c r="AE134" s="7">
        <f ca="1">[1]!b_calc_curve_chinabond("1102",AE$1,$B134)</f>
        <v>2.1964000000000001</v>
      </c>
      <c r="AF134" s="7">
        <f ca="1">[1]!b_calc_curve_chinabond("1102",AF$1,$B134)</f>
        <v>0</v>
      </c>
      <c r="AG134" s="7">
        <f ca="1">[1]!b_calc_curve_chinabond("1102",AG$1,$B134)</f>
        <v>0</v>
      </c>
      <c r="AH134" s="7">
        <f ca="1">[1]!b_calc_curve_chinabond("1102",AH$1,$B134)</f>
        <v>0</v>
      </c>
      <c r="AI134" s="7">
        <f ca="1">[1]!b_calc_curve_chinabond("1102",AI$1,$B134)</f>
        <v>0</v>
      </c>
    </row>
    <row r="135" spans="1:35" ht="19.5" customHeight="1">
      <c r="A135" s="3" t="s">
        <v>135</v>
      </c>
      <c r="B135" s="4">
        <v>12.7</v>
      </c>
      <c r="C135" s="7">
        <f ca="1">[1]!b_calc_curve_chinabond("1102",C$1,$B135)</f>
        <v>2.2631999999999999</v>
      </c>
      <c r="D135" s="7">
        <f ca="1">[1]!b_calc_curve_chinabond("1102",D$1,$B135)</f>
        <v>2.2667000000000002</v>
      </c>
      <c r="E135" s="7">
        <f ca="1">[1]!b_calc_curve_chinabond("1102",E$1,$B135)</f>
        <v>0</v>
      </c>
      <c r="F135" s="7">
        <f ca="1">[1]!b_calc_curve_chinabond("1102",F$1,$B135)</f>
        <v>0</v>
      </c>
      <c r="G135" s="7">
        <f ca="1">[1]!b_calc_curve_chinabond("1102",G$1,$B135)</f>
        <v>2.2645</v>
      </c>
      <c r="H135" s="7">
        <f ca="1">[1]!b_calc_curve_chinabond("1102",H$1,$B135)</f>
        <v>2.2456</v>
      </c>
      <c r="I135" s="7">
        <f ca="1">[1]!b_calc_curve_chinabond("1102",I$1,$B135)</f>
        <v>2.2406999999999999</v>
      </c>
      <c r="J135" s="7">
        <f ca="1">[1]!b_calc_curve_chinabond("1102",J$1,$B135)</f>
        <v>2.2309999999999999</v>
      </c>
      <c r="K135" s="7">
        <f ca="1">[1]!b_calc_curve_chinabond("1102",K$1,$B135)</f>
        <v>2.2035999999999998</v>
      </c>
      <c r="L135" s="7">
        <f ca="1">[1]!b_calc_curve_chinabond("1102",L$1,$B135)</f>
        <v>0</v>
      </c>
      <c r="M135" s="7">
        <f ca="1">[1]!b_calc_curve_chinabond("1102",M$1,$B135)</f>
        <v>0</v>
      </c>
      <c r="N135" s="7">
        <f ca="1">[1]!b_calc_curve_chinabond("1102",N$1,$B135)</f>
        <v>2.1928000000000001</v>
      </c>
      <c r="O135" s="7">
        <f ca="1">[1]!b_calc_curve_chinabond("1102",O$1,$B135)</f>
        <v>2.1760999999999999</v>
      </c>
      <c r="P135" s="7">
        <f ca="1">[1]!b_calc_curve_chinabond("1102",P$1,$B135)</f>
        <v>2.1747999999999998</v>
      </c>
      <c r="Q135" s="7">
        <f ca="1">[1]!b_calc_curve_chinabond("1102",Q$1,$B135)</f>
        <v>2.1640999999999999</v>
      </c>
      <c r="R135" s="7">
        <f ca="1">[1]!b_calc_curve_chinabond("1102",R$1,$B135)</f>
        <v>2.1732</v>
      </c>
      <c r="S135" s="7">
        <f ca="1">[1]!b_calc_curve_chinabond("1102",S$1,$B135)</f>
        <v>0</v>
      </c>
      <c r="T135" s="7">
        <f ca="1">[1]!b_calc_curve_chinabond("1102",T$1,$B135)</f>
        <v>0</v>
      </c>
      <c r="U135" s="7">
        <f ca="1">[1]!b_calc_curve_chinabond("1102",U$1,$B135)</f>
        <v>2.1835</v>
      </c>
      <c r="V135" s="7">
        <f ca="1">[1]!b_calc_curve_chinabond("1102",V$1,$B135)</f>
        <v>2.1941999999999999</v>
      </c>
      <c r="W135" s="7">
        <f ca="1">[1]!b_calc_curve_chinabond("1102",W$1,$B135)</f>
        <v>2.1943999999999999</v>
      </c>
      <c r="X135" s="7">
        <f ca="1">[1]!b_calc_curve_chinabond("1102",X$1,$B135)</f>
        <v>2.2385000000000002</v>
      </c>
      <c r="Y135" s="7">
        <f ca="1">[1]!b_calc_curve_chinabond("1102",Y$1,$B135)</f>
        <v>2.2307999999999999</v>
      </c>
      <c r="Z135" s="7">
        <f ca="1">[1]!b_calc_curve_chinabond("1102",Z$1,$B135)</f>
        <v>0</v>
      </c>
      <c r="AA135" s="7">
        <f ca="1">[1]!b_calc_curve_chinabond("1102",AA$1,$B135)</f>
        <v>0</v>
      </c>
      <c r="AB135" s="7">
        <f ca="1">[1]!b_calc_curve_chinabond("1102",AB$1,$B135)</f>
        <v>2.2284000000000002</v>
      </c>
      <c r="AC135" s="7">
        <f ca="1">[1]!b_calc_curve_chinabond("1102",AC$1,$B135)</f>
        <v>2.2099000000000002</v>
      </c>
      <c r="AD135" s="7">
        <f ca="1">[1]!b_calc_curve_chinabond("1102",AD$1,$B135)</f>
        <v>2.2069000000000001</v>
      </c>
      <c r="AE135" s="7">
        <f ca="1">[1]!b_calc_curve_chinabond("1102",AE$1,$B135)</f>
        <v>2.1991999999999998</v>
      </c>
      <c r="AF135" s="7">
        <f ca="1">[1]!b_calc_curve_chinabond("1102",AF$1,$B135)</f>
        <v>0</v>
      </c>
      <c r="AG135" s="7">
        <f ca="1">[1]!b_calc_curve_chinabond("1102",AG$1,$B135)</f>
        <v>0</v>
      </c>
      <c r="AH135" s="7">
        <f ca="1">[1]!b_calc_curve_chinabond("1102",AH$1,$B135)</f>
        <v>0</v>
      </c>
      <c r="AI135" s="7">
        <f ca="1">[1]!b_calc_curve_chinabond("1102",AI$1,$B135)</f>
        <v>0</v>
      </c>
    </row>
    <row r="136" spans="1:35" ht="19.5" customHeight="1">
      <c r="A136" s="1" t="s">
        <v>136</v>
      </c>
      <c r="B136" s="2">
        <v>12.8</v>
      </c>
      <c r="C136" s="7">
        <f ca="1">[1]!b_calc_curve_chinabond("1102",C$1,$B136)</f>
        <v>2.2664</v>
      </c>
      <c r="D136" s="7">
        <f ca="1">[1]!b_calc_curve_chinabond("1102",D$1,$B136)</f>
        <v>2.2696999999999998</v>
      </c>
      <c r="E136" s="7">
        <f ca="1">[1]!b_calc_curve_chinabond("1102",E$1,$B136)</f>
        <v>0</v>
      </c>
      <c r="F136" s="7">
        <f ca="1">[1]!b_calc_curve_chinabond("1102",F$1,$B136)</f>
        <v>0</v>
      </c>
      <c r="G136" s="7">
        <f ca="1">[1]!b_calc_curve_chinabond("1102",G$1,$B136)</f>
        <v>2.2671999999999999</v>
      </c>
      <c r="H136" s="7">
        <f ca="1">[1]!b_calc_curve_chinabond("1102",H$1,$B136)</f>
        <v>2.2492000000000001</v>
      </c>
      <c r="I136" s="7">
        <f ca="1">[1]!b_calc_curve_chinabond("1102",I$1,$B136)</f>
        <v>2.2446000000000002</v>
      </c>
      <c r="J136" s="7">
        <f ca="1">[1]!b_calc_curve_chinabond("1102",J$1,$B136)</f>
        <v>2.2349999999999999</v>
      </c>
      <c r="K136" s="7">
        <f ca="1">[1]!b_calc_curve_chinabond("1102",K$1,$B136)</f>
        <v>2.2077</v>
      </c>
      <c r="L136" s="7">
        <f ca="1">[1]!b_calc_curve_chinabond("1102",L$1,$B136)</f>
        <v>0</v>
      </c>
      <c r="M136" s="7">
        <f ca="1">[1]!b_calc_curve_chinabond("1102",M$1,$B136)</f>
        <v>0</v>
      </c>
      <c r="N136" s="7">
        <f ca="1">[1]!b_calc_curve_chinabond("1102",N$1,$B136)</f>
        <v>2.1968999999999999</v>
      </c>
      <c r="O136" s="7">
        <f ca="1">[1]!b_calc_curve_chinabond("1102",O$1,$B136)</f>
        <v>2.1798999999999999</v>
      </c>
      <c r="P136" s="7">
        <f ca="1">[1]!b_calc_curve_chinabond("1102",P$1,$B136)</f>
        <v>2.1785000000000001</v>
      </c>
      <c r="Q136" s="7">
        <f ca="1">[1]!b_calc_curve_chinabond("1102",Q$1,$B136)</f>
        <v>2.1682000000000001</v>
      </c>
      <c r="R136" s="7">
        <f ca="1">[1]!b_calc_curve_chinabond("1102",R$1,$B136)</f>
        <v>2.1766000000000001</v>
      </c>
      <c r="S136" s="7">
        <f ca="1">[1]!b_calc_curve_chinabond("1102",S$1,$B136)</f>
        <v>0</v>
      </c>
      <c r="T136" s="7">
        <f ca="1">[1]!b_calc_curve_chinabond("1102",T$1,$B136)</f>
        <v>0</v>
      </c>
      <c r="U136" s="7">
        <f ca="1">[1]!b_calc_curve_chinabond("1102",U$1,$B136)</f>
        <v>2.1869999999999998</v>
      </c>
      <c r="V136" s="7">
        <f ca="1">[1]!b_calc_curve_chinabond("1102",V$1,$B136)</f>
        <v>2.1974</v>
      </c>
      <c r="W136" s="7">
        <f ca="1">[1]!b_calc_curve_chinabond("1102",W$1,$B136)</f>
        <v>2.1981000000000002</v>
      </c>
      <c r="X136" s="7">
        <f ca="1">[1]!b_calc_curve_chinabond("1102",X$1,$B136)</f>
        <v>2.2412999999999998</v>
      </c>
      <c r="Y136" s="7">
        <f ca="1">[1]!b_calc_curve_chinabond("1102",Y$1,$B136)</f>
        <v>2.2343999999999999</v>
      </c>
      <c r="Z136" s="7">
        <f ca="1">[1]!b_calc_curve_chinabond("1102",Z$1,$B136)</f>
        <v>0</v>
      </c>
      <c r="AA136" s="7">
        <f ca="1">[1]!b_calc_curve_chinabond("1102",AA$1,$B136)</f>
        <v>0</v>
      </c>
      <c r="AB136" s="7">
        <f ca="1">[1]!b_calc_curve_chinabond("1102",AB$1,$B136)</f>
        <v>2.2317999999999998</v>
      </c>
      <c r="AC136" s="7">
        <f ca="1">[1]!b_calc_curve_chinabond("1102",AC$1,$B136)</f>
        <v>2.2138</v>
      </c>
      <c r="AD136" s="7">
        <f ca="1">[1]!b_calc_curve_chinabond("1102",AD$1,$B136)</f>
        <v>2.21</v>
      </c>
      <c r="AE136" s="7">
        <f ca="1">[1]!b_calc_curve_chinabond("1102",AE$1,$B136)</f>
        <v>2.2019000000000002</v>
      </c>
      <c r="AF136" s="7">
        <f ca="1">[1]!b_calc_curve_chinabond("1102",AF$1,$B136)</f>
        <v>0</v>
      </c>
      <c r="AG136" s="7">
        <f ca="1">[1]!b_calc_curve_chinabond("1102",AG$1,$B136)</f>
        <v>0</v>
      </c>
      <c r="AH136" s="7">
        <f ca="1">[1]!b_calc_curve_chinabond("1102",AH$1,$B136)</f>
        <v>0</v>
      </c>
      <c r="AI136" s="7">
        <f ca="1">[1]!b_calc_curve_chinabond("1102",AI$1,$B136)</f>
        <v>0</v>
      </c>
    </row>
    <row r="137" spans="1:35" ht="19.5" customHeight="1">
      <c r="A137" s="3" t="s">
        <v>137</v>
      </c>
      <c r="B137" s="4">
        <v>12.9</v>
      </c>
      <c r="C137" s="7">
        <f ca="1">[1]!b_calc_curve_chinabond("1102",C$1,$B137)</f>
        <v>2.2694999999999999</v>
      </c>
      <c r="D137" s="7">
        <f ca="1">[1]!b_calc_curve_chinabond("1102",D$1,$B137)</f>
        <v>2.2726000000000002</v>
      </c>
      <c r="E137" s="7">
        <f ca="1">[1]!b_calc_curve_chinabond("1102",E$1,$B137)</f>
        <v>0</v>
      </c>
      <c r="F137" s="7">
        <f ca="1">[1]!b_calc_curve_chinabond("1102",F$1,$B137)</f>
        <v>0</v>
      </c>
      <c r="G137" s="7">
        <f ca="1">[1]!b_calc_curve_chinabond("1102",G$1,$B137)</f>
        <v>2.2698</v>
      </c>
      <c r="H137" s="7">
        <f ca="1">[1]!b_calc_curve_chinabond("1102",H$1,$B137)</f>
        <v>2.2528999999999999</v>
      </c>
      <c r="I137" s="7">
        <f ca="1">[1]!b_calc_curve_chinabond("1102",I$1,$B137)</f>
        <v>2.2486000000000002</v>
      </c>
      <c r="J137" s="7">
        <f ca="1">[1]!b_calc_curve_chinabond("1102",J$1,$B137)</f>
        <v>2.2389000000000001</v>
      </c>
      <c r="K137" s="7">
        <f ca="1">[1]!b_calc_curve_chinabond("1102",K$1,$B137)</f>
        <v>2.2119</v>
      </c>
      <c r="L137" s="7">
        <f ca="1">[1]!b_calc_curve_chinabond("1102",L$1,$B137)</f>
        <v>0</v>
      </c>
      <c r="M137" s="7">
        <f ca="1">[1]!b_calc_curve_chinabond("1102",M$1,$B137)</f>
        <v>0</v>
      </c>
      <c r="N137" s="7">
        <f ca="1">[1]!b_calc_curve_chinabond("1102",N$1,$B137)</f>
        <v>2.2008999999999999</v>
      </c>
      <c r="O137" s="7">
        <f ca="1">[1]!b_calc_curve_chinabond("1102",O$1,$B137)</f>
        <v>2.1837</v>
      </c>
      <c r="P137" s="7">
        <f ca="1">[1]!b_calc_curve_chinabond("1102",P$1,$B137)</f>
        <v>2.1823000000000001</v>
      </c>
      <c r="Q137" s="7">
        <f ca="1">[1]!b_calc_curve_chinabond("1102",Q$1,$B137)</f>
        <v>2.1722999999999999</v>
      </c>
      <c r="R137" s="7">
        <f ca="1">[1]!b_calc_curve_chinabond("1102",R$1,$B137)</f>
        <v>2.1800999999999999</v>
      </c>
      <c r="S137" s="7">
        <f ca="1">[1]!b_calc_curve_chinabond("1102",S$1,$B137)</f>
        <v>0</v>
      </c>
      <c r="T137" s="7">
        <f ca="1">[1]!b_calc_curve_chinabond("1102",T$1,$B137)</f>
        <v>0</v>
      </c>
      <c r="U137" s="7">
        <f ca="1">[1]!b_calc_curve_chinabond("1102",U$1,$B137)</f>
        <v>2.1903999999999999</v>
      </c>
      <c r="V137" s="7">
        <f ca="1">[1]!b_calc_curve_chinabond("1102",V$1,$B137)</f>
        <v>2.2006000000000001</v>
      </c>
      <c r="W137" s="7">
        <f ca="1">[1]!b_calc_curve_chinabond("1102",W$1,$B137)</f>
        <v>2.2019000000000002</v>
      </c>
      <c r="X137" s="7">
        <f ca="1">[1]!b_calc_curve_chinabond("1102",X$1,$B137)</f>
        <v>2.2441</v>
      </c>
      <c r="Y137" s="7">
        <f ca="1">[1]!b_calc_curve_chinabond("1102",Y$1,$B137)</f>
        <v>2.238</v>
      </c>
      <c r="Z137" s="7">
        <f ca="1">[1]!b_calc_curve_chinabond("1102",Z$1,$B137)</f>
        <v>0</v>
      </c>
      <c r="AA137" s="7">
        <f ca="1">[1]!b_calc_curve_chinabond("1102",AA$1,$B137)</f>
        <v>0</v>
      </c>
      <c r="AB137" s="7">
        <f ca="1">[1]!b_calc_curve_chinabond("1102",AB$1,$B137)</f>
        <v>2.2351999999999999</v>
      </c>
      <c r="AC137" s="7">
        <f ca="1">[1]!b_calc_curve_chinabond("1102",AC$1,$B137)</f>
        <v>2.2176</v>
      </c>
      <c r="AD137" s="7">
        <f ca="1">[1]!b_calc_curve_chinabond("1102",AD$1,$B137)</f>
        <v>2.2130000000000001</v>
      </c>
      <c r="AE137" s="7">
        <f ca="1">[1]!b_calc_curve_chinabond("1102",AE$1,$B137)</f>
        <v>2.2046000000000001</v>
      </c>
      <c r="AF137" s="7">
        <f ca="1">[1]!b_calc_curve_chinabond("1102",AF$1,$B137)</f>
        <v>0</v>
      </c>
      <c r="AG137" s="7">
        <f ca="1">[1]!b_calc_curve_chinabond("1102",AG$1,$B137)</f>
        <v>0</v>
      </c>
      <c r="AH137" s="7">
        <f ca="1">[1]!b_calc_curve_chinabond("1102",AH$1,$B137)</f>
        <v>0</v>
      </c>
      <c r="AI137" s="7">
        <f ca="1">[1]!b_calc_curve_chinabond("1102",AI$1,$B137)</f>
        <v>0</v>
      </c>
    </row>
    <row r="138" spans="1:35" ht="19.5" customHeight="1">
      <c r="A138" s="1" t="s">
        <v>138</v>
      </c>
      <c r="B138" s="2">
        <v>13</v>
      </c>
      <c r="C138" s="7">
        <f ca="1">[1]!b_calc_curve_chinabond("1102",C$1,$B138)</f>
        <v>2.2726999999999999</v>
      </c>
      <c r="D138" s="7">
        <f ca="1">[1]!b_calc_curve_chinabond("1102",D$1,$B138)</f>
        <v>2.2755999999999998</v>
      </c>
      <c r="E138" s="7">
        <f ca="1">[1]!b_calc_curve_chinabond("1102",E$1,$B138)</f>
        <v>0</v>
      </c>
      <c r="F138" s="7">
        <f ca="1">[1]!b_calc_curve_chinabond("1102",F$1,$B138)</f>
        <v>0</v>
      </c>
      <c r="G138" s="7">
        <f ca="1">[1]!b_calc_curve_chinabond("1102",G$1,$B138)</f>
        <v>2.2724000000000002</v>
      </c>
      <c r="H138" s="7">
        <f ca="1">[1]!b_calc_curve_chinabond("1102",H$1,$B138)</f>
        <v>2.2566000000000002</v>
      </c>
      <c r="I138" s="7">
        <f ca="1">[1]!b_calc_curve_chinabond("1102",I$1,$B138)</f>
        <v>2.2524999999999999</v>
      </c>
      <c r="J138" s="7">
        <f ca="1">[1]!b_calc_curve_chinabond("1102",J$1,$B138)</f>
        <v>2.2429000000000001</v>
      </c>
      <c r="K138" s="7">
        <f ca="1">[1]!b_calc_curve_chinabond("1102",K$1,$B138)</f>
        <v>2.2162000000000002</v>
      </c>
      <c r="L138" s="7">
        <f ca="1">[1]!b_calc_curve_chinabond("1102",L$1,$B138)</f>
        <v>0</v>
      </c>
      <c r="M138" s="7">
        <f ca="1">[1]!b_calc_curve_chinabond("1102",M$1,$B138)</f>
        <v>0</v>
      </c>
      <c r="N138" s="7">
        <f ca="1">[1]!b_calc_curve_chinabond("1102",N$1,$B138)</f>
        <v>2.2050000000000001</v>
      </c>
      <c r="O138" s="7">
        <f ca="1">[1]!b_calc_curve_chinabond("1102",O$1,$B138)</f>
        <v>2.1875</v>
      </c>
      <c r="P138" s="7">
        <f ca="1">[1]!b_calc_curve_chinabond("1102",P$1,$B138)</f>
        <v>2.1861000000000002</v>
      </c>
      <c r="Q138" s="7">
        <f ca="1">[1]!b_calc_curve_chinabond("1102",Q$1,$B138)</f>
        <v>2.1764999999999999</v>
      </c>
      <c r="R138" s="7">
        <f ca="1">[1]!b_calc_curve_chinabond("1102",R$1,$B138)</f>
        <v>2.1835</v>
      </c>
      <c r="S138" s="7">
        <f ca="1">[1]!b_calc_curve_chinabond("1102",S$1,$B138)</f>
        <v>0</v>
      </c>
      <c r="T138" s="7">
        <f ca="1">[1]!b_calc_curve_chinabond("1102",T$1,$B138)</f>
        <v>0</v>
      </c>
      <c r="U138" s="7">
        <f ca="1">[1]!b_calc_curve_chinabond("1102",U$1,$B138)</f>
        <v>2.1939000000000002</v>
      </c>
      <c r="V138" s="7">
        <f ca="1">[1]!b_calc_curve_chinabond("1102",V$1,$B138)</f>
        <v>2.2038000000000002</v>
      </c>
      <c r="W138" s="7">
        <f ca="1">[1]!b_calc_curve_chinabond("1102",W$1,$B138)</f>
        <v>2.2057000000000002</v>
      </c>
      <c r="X138" s="7">
        <f ca="1">[1]!b_calc_curve_chinabond("1102",X$1,$B138)</f>
        <v>2.2469000000000001</v>
      </c>
      <c r="Y138" s="7">
        <f ca="1">[1]!b_calc_curve_chinabond("1102",Y$1,$B138)</f>
        <v>2.2416</v>
      </c>
      <c r="Z138" s="7">
        <f ca="1">[1]!b_calc_curve_chinabond("1102",Z$1,$B138)</f>
        <v>0</v>
      </c>
      <c r="AA138" s="7">
        <f ca="1">[1]!b_calc_curve_chinabond("1102",AA$1,$B138)</f>
        <v>0</v>
      </c>
      <c r="AB138" s="7">
        <f ca="1">[1]!b_calc_curve_chinabond("1102",AB$1,$B138)</f>
        <v>2.2385999999999999</v>
      </c>
      <c r="AC138" s="7">
        <f ca="1">[1]!b_calc_curve_chinabond("1102",AC$1,$B138)</f>
        <v>2.2214999999999998</v>
      </c>
      <c r="AD138" s="7">
        <f ca="1">[1]!b_calc_curve_chinabond("1102",AD$1,$B138)</f>
        <v>2.2161</v>
      </c>
      <c r="AE138" s="7">
        <f ca="1">[1]!b_calc_curve_chinabond("1102",AE$1,$B138)</f>
        <v>2.2073999999999998</v>
      </c>
      <c r="AF138" s="7">
        <f ca="1">[1]!b_calc_curve_chinabond("1102",AF$1,$B138)</f>
        <v>0</v>
      </c>
      <c r="AG138" s="7">
        <f ca="1">[1]!b_calc_curve_chinabond("1102",AG$1,$B138)</f>
        <v>0</v>
      </c>
      <c r="AH138" s="7">
        <f ca="1">[1]!b_calc_curve_chinabond("1102",AH$1,$B138)</f>
        <v>0</v>
      </c>
      <c r="AI138" s="7">
        <f ca="1">[1]!b_calc_curve_chinabond("1102",AI$1,$B138)</f>
        <v>0</v>
      </c>
    </row>
    <row r="139" spans="1:35" ht="19.5" customHeight="1">
      <c r="A139" s="3" t="s">
        <v>139</v>
      </c>
      <c r="B139" s="4">
        <v>13.1</v>
      </c>
      <c r="C139" s="7">
        <f ca="1">[1]!b_calc_curve_chinabond("1102",C$1,$B139)</f>
        <v>2.2759</v>
      </c>
      <c r="D139" s="7">
        <f ca="1">[1]!b_calc_curve_chinabond("1102",D$1,$B139)</f>
        <v>2.2785000000000002</v>
      </c>
      <c r="E139" s="7">
        <f ca="1">[1]!b_calc_curve_chinabond("1102",E$1,$B139)</f>
        <v>0</v>
      </c>
      <c r="F139" s="7">
        <f ca="1">[1]!b_calc_curve_chinabond("1102",F$1,$B139)</f>
        <v>0</v>
      </c>
      <c r="G139" s="7">
        <f ca="1">[1]!b_calc_curve_chinabond("1102",G$1,$B139)</f>
        <v>2.2749999999999999</v>
      </c>
      <c r="H139" s="7">
        <f ca="1">[1]!b_calc_curve_chinabond("1102",H$1,$B139)</f>
        <v>2.2603</v>
      </c>
      <c r="I139" s="7">
        <f ca="1">[1]!b_calc_curve_chinabond("1102",I$1,$B139)</f>
        <v>2.2565</v>
      </c>
      <c r="J139" s="7">
        <f ca="1">[1]!b_calc_curve_chinabond("1102",J$1,$B139)</f>
        <v>2.2467999999999999</v>
      </c>
      <c r="K139" s="7">
        <f ca="1">[1]!b_calc_curve_chinabond("1102",K$1,$B139)</f>
        <v>2.2204000000000002</v>
      </c>
      <c r="L139" s="7">
        <f ca="1">[1]!b_calc_curve_chinabond("1102",L$1,$B139)</f>
        <v>0</v>
      </c>
      <c r="M139" s="7">
        <f ca="1">[1]!b_calc_curve_chinabond("1102",M$1,$B139)</f>
        <v>0</v>
      </c>
      <c r="N139" s="7">
        <f ca="1">[1]!b_calc_curve_chinabond("1102",N$1,$B139)</f>
        <v>2.2090999999999998</v>
      </c>
      <c r="O139" s="7">
        <f ca="1">[1]!b_calc_curve_chinabond("1102",O$1,$B139)</f>
        <v>2.1913</v>
      </c>
      <c r="P139" s="7">
        <f ca="1">[1]!b_calc_curve_chinabond("1102",P$1,$B139)</f>
        <v>2.1899000000000002</v>
      </c>
      <c r="Q139" s="7">
        <f ca="1">[1]!b_calc_curve_chinabond("1102",Q$1,$B139)</f>
        <v>2.1806999999999999</v>
      </c>
      <c r="R139" s="7">
        <f ca="1">[1]!b_calc_curve_chinabond("1102",R$1,$B139)</f>
        <v>2.1869999999999998</v>
      </c>
      <c r="S139" s="7">
        <f ca="1">[1]!b_calc_curve_chinabond("1102",S$1,$B139)</f>
        <v>0</v>
      </c>
      <c r="T139" s="7">
        <f ca="1">[1]!b_calc_curve_chinabond("1102",T$1,$B139)</f>
        <v>0</v>
      </c>
      <c r="U139" s="7">
        <f ca="1">[1]!b_calc_curve_chinabond("1102",U$1,$B139)</f>
        <v>2.1974</v>
      </c>
      <c r="V139" s="7">
        <f ca="1">[1]!b_calc_curve_chinabond("1102",V$1,$B139)</f>
        <v>2.2071000000000001</v>
      </c>
      <c r="W139" s="7">
        <f ca="1">[1]!b_calc_curve_chinabond("1102",W$1,$B139)</f>
        <v>2.2094999999999998</v>
      </c>
      <c r="X139" s="7">
        <f ca="1">[1]!b_calc_curve_chinabond("1102",X$1,$B139)</f>
        <v>2.2498</v>
      </c>
      <c r="Y139" s="7">
        <f ca="1">[1]!b_calc_curve_chinabond("1102",Y$1,$B139)</f>
        <v>2.2452999999999999</v>
      </c>
      <c r="Z139" s="7">
        <f ca="1">[1]!b_calc_curve_chinabond("1102",Z$1,$B139)</f>
        <v>0</v>
      </c>
      <c r="AA139" s="7">
        <f ca="1">[1]!b_calc_curve_chinabond("1102",AA$1,$B139)</f>
        <v>0</v>
      </c>
      <c r="AB139" s="7">
        <f ca="1">[1]!b_calc_curve_chinabond("1102",AB$1,$B139)</f>
        <v>2.2421000000000002</v>
      </c>
      <c r="AC139" s="7">
        <f ca="1">[1]!b_calc_curve_chinabond("1102",AC$1,$B139)</f>
        <v>2.2254</v>
      </c>
      <c r="AD139" s="7">
        <f ca="1">[1]!b_calc_curve_chinabond("1102",AD$1,$B139)</f>
        <v>2.2191000000000001</v>
      </c>
      <c r="AE139" s="7">
        <f ca="1">[1]!b_calc_curve_chinabond("1102",AE$1,$B139)</f>
        <v>2.2101000000000002</v>
      </c>
      <c r="AF139" s="7">
        <f ca="1">[1]!b_calc_curve_chinabond("1102",AF$1,$B139)</f>
        <v>0</v>
      </c>
      <c r="AG139" s="7">
        <f ca="1">[1]!b_calc_curve_chinabond("1102",AG$1,$B139)</f>
        <v>0</v>
      </c>
      <c r="AH139" s="7">
        <f ca="1">[1]!b_calc_curve_chinabond("1102",AH$1,$B139)</f>
        <v>0</v>
      </c>
      <c r="AI139" s="7">
        <f ca="1">[1]!b_calc_curve_chinabond("1102",AI$1,$B139)</f>
        <v>0</v>
      </c>
    </row>
    <row r="140" spans="1:35" ht="19.5" customHeight="1">
      <c r="A140" s="1" t="s">
        <v>140</v>
      </c>
      <c r="B140" s="2">
        <v>13.2</v>
      </c>
      <c r="C140" s="7">
        <f ca="1">[1]!b_calc_curve_chinabond("1102",C$1,$B140)</f>
        <v>2.2791000000000001</v>
      </c>
      <c r="D140" s="7">
        <f ca="1">[1]!b_calc_curve_chinabond("1102",D$1,$B140)</f>
        <v>2.2814000000000001</v>
      </c>
      <c r="E140" s="7">
        <f ca="1">[1]!b_calc_curve_chinabond("1102",E$1,$B140)</f>
        <v>0</v>
      </c>
      <c r="F140" s="7">
        <f ca="1">[1]!b_calc_curve_chinabond("1102",F$1,$B140)</f>
        <v>0</v>
      </c>
      <c r="G140" s="7">
        <f ca="1">[1]!b_calc_curve_chinabond("1102",G$1,$B140)</f>
        <v>2.2774999999999999</v>
      </c>
      <c r="H140" s="7">
        <f ca="1">[1]!b_calc_curve_chinabond("1102",H$1,$B140)</f>
        <v>2.2639999999999998</v>
      </c>
      <c r="I140" s="7">
        <f ca="1">[1]!b_calc_curve_chinabond("1102",I$1,$B140)</f>
        <v>2.2605</v>
      </c>
      <c r="J140" s="7">
        <f ca="1">[1]!b_calc_curve_chinabond("1102",J$1,$B140)</f>
        <v>2.2507999999999999</v>
      </c>
      <c r="K140" s="7">
        <f ca="1">[1]!b_calc_curve_chinabond("1102",K$1,$B140)</f>
        <v>2.2246000000000001</v>
      </c>
      <c r="L140" s="7">
        <f ca="1">[1]!b_calc_curve_chinabond("1102",L$1,$B140)</f>
        <v>0</v>
      </c>
      <c r="M140" s="7">
        <f ca="1">[1]!b_calc_curve_chinabond("1102",M$1,$B140)</f>
        <v>0</v>
      </c>
      <c r="N140" s="7">
        <f ca="1">[1]!b_calc_curve_chinabond("1102",N$1,$B140)</f>
        <v>2.2132000000000001</v>
      </c>
      <c r="O140" s="7">
        <f ca="1">[1]!b_calc_curve_chinabond("1102",O$1,$B140)</f>
        <v>2.1951999999999998</v>
      </c>
      <c r="P140" s="7">
        <f ca="1">[1]!b_calc_curve_chinabond("1102",P$1,$B140)</f>
        <v>2.1937000000000002</v>
      </c>
      <c r="Q140" s="7">
        <f ca="1">[1]!b_calc_curve_chinabond("1102",Q$1,$B140)</f>
        <v>2.1848000000000001</v>
      </c>
      <c r="R140" s="7">
        <f ca="1">[1]!b_calc_curve_chinabond("1102",R$1,$B140)</f>
        <v>2.1903999999999999</v>
      </c>
      <c r="S140" s="7">
        <f ca="1">[1]!b_calc_curve_chinabond("1102",S$1,$B140)</f>
        <v>0</v>
      </c>
      <c r="T140" s="7">
        <f ca="1">[1]!b_calc_curve_chinabond("1102",T$1,$B140)</f>
        <v>0</v>
      </c>
      <c r="U140" s="7">
        <f ca="1">[1]!b_calc_curve_chinabond("1102",U$1,$B140)</f>
        <v>2.2008000000000001</v>
      </c>
      <c r="V140" s="7">
        <f ca="1">[1]!b_calc_curve_chinabond("1102",V$1,$B140)</f>
        <v>2.2103000000000002</v>
      </c>
      <c r="W140" s="7">
        <f ca="1">[1]!b_calc_curve_chinabond("1102",W$1,$B140)</f>
        <v>2.2132999999999998</v>
      </c>
      <c r="X140" s="7">
        <f ca="1">[1]!b_calc_curve_chinabond("1102",X$1,$B140)</f>
        <v>2.2526000000000002</v>
      </c>
      <c r="Y140" s="7">
        <f ca="1">[1]!b_calc_curve_chinabond("1102",Y$1,$B140)</f>
        <v>2.2488999999999999</v>
      </c>
      <c r="Z140" s="7">
        <f ca="1">[1]!b_calc_curve_chinabond("1102",Z$1,$B140)</f>
        <v>0</v>
      </c>
      <c r="AA140" s="7">
        <f ca="1">[1]!b_calc_curve_chinabond("1102",AA$1,$B140)</f>
        <v>0</v>
      </c>
      <c r="AB140" s="7">
        <f ca="1">[1]!b_calc_curve_chinabond("1102",AB$1,$B140)</f>
        <v>2.2454999999999998</v>
      </c>
      <c r="AC140" s="7">
        <f ca="1">[1]!b_calc_curve_chinabond("1102",AC$1,$B140)</f>
        <v>2.2292999999999998</v>
      </c>
      <c r="AD140" s="7">
        <f ca="1">[1]!b_calc_curve_chinabond("1102",AD$1,$B140)</f>
        <v>2.2222</v>
      </c>
      <c r="AE140" s="7">
        <f ca="1">[1]!b_calc_curve_chinabond("1102",AE$1,$B140)</f>
        <v>2.2128000000000001</v>
      </c>
      <c r="AF140" s="7">
        <f ca="1">[1]!b_calc_curve_chinabond("1102",AF$1,$B140)</f>
        <v>0</v>
      </c>
      <c r="AG140" s="7">
        <f ca="1">[1]!b_calc_curve_chinabond("1102",AG$1,$B140)</f>
        <v>0</v>
      </c>
      <c r="AH140" s="7">
        <f ca="1">[1]!b_calc_curve_chinabond("1102",AH$1,$B140)</f>
        <v>0</v>
      </c>
      <c r="AI140" s="7">
        <f ca="1">[1]!b_calc_curve_chinabond("1102",AI$1,$B140)</f>
        <v>0</v>
      </c>
    </row>
    <row r="141" spans="1:35" ht="19.5" customHeight="1">
      <c r="A141" s="3" t="s">
        <v>141</v>
      </c>
      <c r="B141" s="4">
        <v>13.3</v>
      </c>
      <c r="C141" s="7">
        <f ca="1">[1]!b_calc_curve_chinabond("1102",C$1,$B141)</f>
        <v>2.2824</v>
      </c>
      <c r="D141" s="7">
        <f ca="1">[1]!b_calc_curve_chinabond("1102",D$1,$B141)</f>
        <v>2.2843</v>
      </c>
      <c r="E141" s="7">
        <f ca="1">[1]!b_calc_curve_chinabond("1102",E$1,$B141)</f>
        <v>0</v>
      </c>
      <c r="F141" s="7">
        <f ca="1">[1]!b_calc_curve_chinabond("1102",F$1,$B141)</f>
        <v>0</v>
      </c>
      <c r="G141" s="7">
        <f ca="1">[1]!b_calc_curve_chinabond("1102",G$1,$B141)</f>
        <v>2.2801</v>
      </c>
      <c r="H141" s="7">
        <f ca="1">[1]!b_calc_curve_chinabond("1102",H$1,$B141)</f>
        <v>2.2677</v>
      </c>
      <c r="I141" s="7">
        <f ca="1">[1]!b_calc_curve_chinabond("1102",I$1,$B141)</f>
        <v>2.2644000000000002</v>
      </c>
      <c r="J141" s="7">
        <f ca="1">[1]!b_calc_curve_chinabond("1102",J$1,$B141)</f>
        <v>2.2547999999999999</v>
      </c>
      <c r="K141" s="7">
        <f ca="1">[1]!b_calc_curve_chinabond("1102",K$1,$B141)</f>
        <v>2.2288999999999999</v>
      </c>
      <c r="L141" s="7">
        <f ca="1">[1]!b_calc_curve_chinabond("1102",L$1,$B141)</f>
        <v>0</v>
      </c>
      <c r="M141" s="7">
        <f ca="1">[1]!b_calc_curve_chinabond("1102",M$1,$B141)</f>
        <v>0</v>
      </c>
      <c r="N141" s="7">
        <f ca="1">[1]!b_calc_curve_chinabond("1102",N$1,$B141)</f>
        <v>2.2172999999999998</v>
      </c>
      <c r="O141" s="7">
        <f ca="1">[1]!b_calc_curve_chinabond("1102",O$1,$B141)</f>
        <v>2.1989999999999998</v>
      </c>
      <c r="P141" s="7">
        <f ca="1">[1]!b_calc_curve_chinabond("1102",P$1,$B141)</f>
        <v>2.1974999999999998</v>
      </c>
      <c r="Q141" s="7">
        <f ca="1">[1]!b_calc_curve_chinabond("1102",Q$1,$B141)</f>
        <v>2.1890000000000001</v>
      </c>
      <c r="R141" s="7">
        <f ca="1">[1]!b_calc_curve_chinabond("1102",R$1,$B141)</f>
        <v>2.1939000000000002</v>
      </c>
      <c r="S141" s="7">
        <f ca="1">[1]!b_calc_curve_chinabond("1102",S$1,$B141)</f>
        <v>0</v>
      </c>
      <c r="T141" s="7">
        <f ca="1">[1]!b_calc_curve_chinabond("1102",T$1,$B141)</f>
        <v>0</v>
      </c>
      <c r="U141" s="7">
        <f ca="1">[1]!b_calc_curve_chinabond("1102",U$1,$B141)</f>
        <v>2.2042999999999999</v>
      </c>
      <c r="V141" s="7">
        <f ca="1">[1]!b_calc_curve_chinabond("1102",V$1,$B141)</f>
        <v>2.2134999999999998</v>
      </c>
      <c r="W141" s="7">
        <f ca="1">[1]!b_calc_curve_chinabond("1102",W$1,$B141)</f>
        <v>2.2170999999999998</v>
      </c>
      <c r="X141" s="7">
        <f ca="1">[1]!b_calc_curve_chinabond("1102",X$1,$B141)</f>
        <v>2.2553999999999998</v>
      </c>
      <c r="Y141" s="7">
        <f ca="1">[1]!b_calc_curve_chinabond("1102",Y$1,$B141)</f>
        <v>2.2526000000000002</v>
      </c>
      <c r="Z141" s="7">
        <f ca="1">[1]!b_calc_curve_chinabond("1102",Z$1,$B141)</f>
        <v>0</v>
      </c>
      <c r="AA141" s="7">
        <f ca="1">[1]!b_calc_curve_chinabond("1102",AA$1,$B141)</f>
        <v>0</v>
      </c>
      <c r="AB141" s="7">
        <f ca="1">[1]!b_calc_curve_chinabond("1102",AB$1,$B141)</f>
        <v>2.2488999999999999</v>
      </c>
      <c r="AC141" s="7">
        <f ca="1">[1]!b_calc_curve_chinabond("1102",AC$1,$B141)</f>
        <v>2.2332000000000001</v>
      </c>
      <c r="AD141" s="7">
        <f ca="1">[1]!b_calc_curve_chinabond("1102",AD$1,$B141)</f>
        <v>2.2252000000000001</v>
      </c>
      <c r="AE141" s="7">
        <f ca="1">[1]!b_calc_curve_chinabond("1102",AE$1,$B141)</f>
        <v>2.2155</v>
      </c>
      <c r="AF141" s="7">
        <f ca="1">[1]!b_calc_curve_chinabond("1102",AF$1,$B141)</f>
        <v>0</v>
      </c>
      <c r="AG141" s="7">
        <f ca="1">[1]!b_calc_curve_chinabond("1102",AG$1,$B141)</f>
        <v>0</v>
      </c>
      <c r="AH141" s="7">
        <f ca="1">[1]!b_calc_curve_chinabond("1102",AH$1,$B141)</f>
        <v>0</v>
      </c>
      <c r="AI141" s="7">
        <f ca="1">[1]!b_calc_curve_chinabond("1102",AI$1,$B141)</f>
        <v>0</v>
      </c>
    </row>
    <row r="142" spans="1:35" ht="19.5" customHeight="1">
      <c r="A142" s="1" t="s">
        <v>142</v>
      </c>
      <c r="B142" s="2">
        <v>13.4</v>
      </c>
      <c r="C142" s="7">
        <f ca="1">[1]!b_calc_curve_chinabond("1102",C$1,$B142)</f>
        <v>2.2856000000000001</v>
      </c>
      <c r="D142" s="7">
        <f ca="1">[1]!b_calc_curve_chinabond("1102",D$1,$B142)</f>
        <v>2.2873000000000001</v>
      </c>
      <c r="E142" s="7">
        <f ca="1">[1]!b_calc_curve_chinabond("1102",E$1,$B142)</f>
        <v>0</v>
      </c>
      <c r="F142" s="7">
        <f ca="1">[1]!b_calc_curve_chinabond("1102",F$1,$B142)</f>
        <v>0</v>
      </c>
      <c r="G142" s="7">
        <f ca="1">[1]!b_calc_curve_chinabond("1102",G$1,$B142)</f>
        <v>2.2827000000000002</v>
      </c>
      <c r="H142" s="7">
        <f ca="1">[1]!b_calc_curve_chinabond("1102",H$1,$B142)</f>
        <v>2.2713999999999999</v>
      </c>
      <c r="I142" s="7">
        <f ca="1">[1]!b_calc_curve_chinabond("1102",I$1,$B142)</f>
        <v>2.2684000000000002</v>
      </c>
      <c r="J142" s="7">
        <f ca="1">[1]!b_calc_curve_chinabond("1102",J$1,$B142)</f>
        <v>2.2587000000000002</v>
      </c>
      <c r="K142" s="7">
        <f ca="1">[1]!b_calc_curve_chinabond("1102",K$1,$B142)</f>
        <v>2.2330999999999999</v>
      </c>
      <c r="L142" s="7">
        <f ca="1">[1]!b_calc_curve_chinabond("1102",L$1,$B142)</f>
        <v>0</v>
      </c>
      <c r="M142" s="7">
        <f ca="1">[1]!b_calc_curve_chinabond("1102",M$1,$B142)</f>
        <v>0</v>
      </c>
      <c r="N142" s="7">
        <f ca="1">[1]!b_calc_curve_chinabond("1102",N$1,$B142)</f>
        <v>2.2214999999999998</v>
      </c>
      <c r="O142" s="7">
        <f ca="1">[1]!b_calc_curve_chinabond("1102",O$1,$B142)</f>
        <v>2.2027999999999999</v>
      </c>
      <c r="P142" s="7">
        <f ca="1">[1]!b_calc_curve_chinabond("1102",P$1,$B142)</f>
        <v>2.2012999999999998</v>
      </c>
      <c r="Q142" s="7">
        <f ca="1">[1]!b_calc_curve_chinabond("1102",Q$1,$B142)</f>
        <v>2.1932</v>
      </c>
      <c r="R142" s="7">
        <f ca="1">[1]!b_calc_curve_chinabond("1102",R$1,$B142)</f>
        <v>2.1972999999999998</v>
      </c>
      <c r="S142" s="7">
        <f ca="1">[1]!b_calc_curve_chinabond("1102",S$1,$B142)</f>
        <v>0</v>
      </c>
      <c r="T142" s="7">
        <f ca="1">[1]!b_calc_curve_chinabond("1102",T$1,$B142)</f>
        <v>0</v>
      </c>
      <c r="U142" s="7">
        <f ca="1">[1]!b_calc_curve_chinabond("1102",U$1,$B142)</f>
        <v>2.2078000000000002</v>
      </c>
      <c r="V142" s="7">
        <f ca="1">[1]!b_calc_curve_chinabond("1102",V$1,$B142)</f>
        <v>2.2166999999999999</v>
      </c>
      <c r="W142" s="7">
        <f ca="1">[1]!b_calc_curve_chinabond("1102",W$1,$B142)</f>
        <v>2.2210000000000001</v>
      </c>
      <c r="X142" s="7">
        <f ca="1">[1]!b_calc_curve_chinabond("1102",X$1,$B142)</f>
        <v>2.2582</v>
      </c>
      <c r="Y142" s="7">
        <f ca="1">[1]!b_calc_curve_chinabond("1102",Y$1,$B142)</f>
        <v>2.2562000000000002</v>
      </c>
      <c r="Z142" s="7">
        <f ca="1">[1]!b_calc_curve_chinabond("1102",Z$1,$B142)</f>
        <v>0</v>
      </c>
      <c r="AA142" s="7">
        <f ca="1">[1]!b_calc_curve_chinabond("1102",AA$1,$B142)</f>
        <v>0</v>
      </c>
      <c r="AB142" s="7">
        <f ca="1">[1]!b_calc_curve_chinabond("1102",AB$1,$B142)</f>
        <v>2.2524000000000002</v>
      </c>
      <c r="AC142" s="7">
        <f ca="1">[1]!b_calc_curve_chinabond("1102",AC$1,$B142)</f>
        <v>2.2370000000000001</v>
      </c>
      <c r="AD142" s="7">
        <f ca="1">[1]!b_calc_curve_chinabond("1102",AD$1,$B142)</f>
        <v>2.2282999999999999</v>
      </c>
      <c r="AE142" s="7">
        <f ca="1">[1]!b_calc_curve_chinabond("1102",AE$1,$B142)</f>
        <v>2.2183000000000002</v>
      </c>
      <c r="AF142" s="7">
        <f ca="1">[1]!b_calc_curve_chinabond("1102",AF$1,$B142)</f>
        <v>0</v>
      </c>
      <c r="AG142" s="7">
        <f ca="1">[1]!b_calc_curve_chinabond("1102",AG$1,$B142)</f>
        <v>0</v>
      </c>
      <c r="AH142" s="7">
        <f ca="1">[1]!b_calc_curve_chinabond("1102",AH$1,$B142)</f>
        <v>0</v>
      </c>
      <c r="AI142" s="7">
        <f ca="1">[1]!b_calc_curve_chinabond("1102",AI$1,$B142)</f>
        <v>0</v>
      </c>
    </row>
    <row r="143" spans="1:35" ht="19.5" customHeight="1">
      <c r="A143" s="3" t="s">
        <v>143</v>
      </c>
      <c r="B143" s="4">
        <v>13.5</v>
      </c>
      <c r="C143" s="7">
        <f ca="1">[1]!b_calc_curve_chinabond("1102",C$1,$B143)</f>
        <v>2.2888000000000002</v>
      </c>
      <c r="D143" s="7">
        <f ca="1">[1]!b_calc_curve_chinabond("1102",D$1,$B143)</f>
        <v>2.2902</v>
      </c>
      <c r="E143" s="7">
        <f ca="1">[1]!b_calc_curve_chinabond("1102",E$1,$B143)</f>
        <v>0</v>
      </c>
      <c r="F143" s="7">
        <f ca="1">[1]!b_calc_curve_chinabond("1102",F$1,$B143)</f>
        <v>0</v>
      </c>
      <c r="G143" s="7">
        <f ca="1">[1]!b_calc_curve_chinabond("1102",G$1,$B143)</f>
        <v>2.2852999999999999</v>
      </c>
      <c r="H143" s="7">
        <f ca="1">[1]!b_calc_curve_chinabond("1102",H$1,$B143)</f>
        <v>2.2751000000000001</v>
      </c>
      <c r="I143" s="7">
        <f ca="1">[1]!b_calc_curve_chinabond("1102",I$1,$B143)</f>
        <v>2.2724000000000002</v>
      </c>
      <c r="J143" s="7">
        <f ca="1">[1]!b_calc_curve_chinabond("1102",J$1,$B143)</f>
        <v>2.2627000000000002</v>
      </c>
      <c r="K143" s="7">
        <f ca="1">[1]!b_calc_curve_chinabond("1102",K$1,$B143)</f>
        <v>2.2374000000000001</v>
      </c>
      <c r="L143" s="7">
        <f ca="1">[1]!b_calc_curve_chinabond("1102",L$1,$B143)</f>
        <v>0</v>
      </c>
      <c r="M143" s="7">
        <f ca="1">[1]!b_calc_curve_chinabond("1102",M$1,$B143)</f>
        <v>0</v>
      </c>
      <c r="N143" s="7">
        <f ca="1">[1]!b_calc_curve_chinabond("1102",N$1,$B143)</f>
        <v>2.2256</v>
      </c>
      <c r="O143" s="7">
        <f ca="1">[1]!b_calc_curve_chinabond("1102",O$1,$B143)</f>
        <v>2.2067000000000001</v>
      </c>
      <c r="P143" s="7">
        <f ca="1">[1]!b_calc_curve_chinabond("1102",P$1,$B143)</f>
        <v>2.2050999999999998</v>
      </c>
      <c r="Q143" s="7">
        <f ca="1">[1]!b_calc_curve_chinabond("1102",Q$1,$B143)</f>
        <v>2.1974</v>
      </c>
      <c r="R143" s="7">
        <f ca="1">[1]!b_calc_curve_chinabond("1102",R$1,$B143)</f>
        <v>2.2008000000000001</v>
      </c>
      <c r="S143" s="7">
        <f ca="1">[1]!b_calc_curve_chinabond("1102",S$1,$B143)</f>
        <v>0</v>
      </c>
      <c r="T143" s="7">
        <f ca="1">[1]!b_calc_curve_chinabond("1102",T$1,$B143)</f>
        <v>0</v>
      </c>
      <c r="U143" s="7">
        <f ca="1">[1]!b_calc_curve_chinabond("1102",U$1,$B143)</f>
        <v>2.2111999999999998</v>
      </c>
      <c r="V143" s="7">
        <f ca="1">[1]!b_calc_curve_chinabond("1102",V$1,$B143)</f>
        <v>2.2199</v>
      </c>
      <c r="W143" s="7">
        <f ca="1">[1]!b_calc_curve_chinabond("1102",W$1,$B143)</f>
        <v>2.2248000000000001</v>
      </c>
      <c r="X143" s="7">
        <f ca="1">[1]!b_calc_curve_chinabond("1102",X$1,$B143)</f>
        <v>2.2610000000000001</v>
      </c>
      <c r="Y143" s="7">
        <f ca="1">[1]!b_calc_curve_chinabond("1102",Y$1,$B143)</f>
        <v>2.2599</v>
      </c>
      <c r="Z143" s="7">
        <f ca="1">[1]!b_calc_curve_chinabond("1102",Z$1,$B143)</f>
        <v>0</v>
      </c>
      <c r="AA143" s="7">
        <f ca="1">[1]!b_calc_curve_chinabond("1102",AA$1,$B143)</f>
        <v>0</v>
      </c>
      <c r="AB143" s="7">
        <f ca="1">[1]!b_calc_curve_chinabond("1102",AB$1,$B143)</f>
        <v>2.2557999999999998</v>
      </c>
      <c r="AC143" s="7">
        <f ca="1">[1]!b_calc_curve_chinabond("1102",AC$1,$B143)</f>
        <v>2.2408999999999999</v>
      </c>
      <c r="AD143" s="7">
        <f ca="1">[1]!b_calc_curve_chinabond("1102",AD$1,$B143)</f>
        <v>2.2313000000000001</v>
      </c>
      <c r="AE143" s="7">
        <f ca="1">[1]!b_calc_curve_chinabond("1102",AE$1,$B143)</f>
        <v>2.2210000000000001</v>
      </c>
      <c r="AF143" s="7">
        <f ca="1">[1]!b_calc_curve_chinabond("1102",AF$1,$B143)</f>
        <v>0</v>
      </c>
      <c r="AG143" s="7">
        <f ca="1">[1]!b_calc_curve_chinabond("1102",AG$1,$B143)</f>
        <v>0</v>
      </c>
      <c r="AH143" s="7">
        <f ca="1">[1]!b_calc_curve_chinabond("1102",AH$1,$B143)</f>
        <v>0</v>
      </c>
      <c r="AI143" s="7">
        <f ca="1">[1]!b_calc_curve_chinabond("1102",AI$1,$B143)</f>
        <v>0</v>
      </c>
    </row>
    <row r="144" spans="1:35" ht="19.5" customHeight="1">
      <c r="A144" s="1" t="s">
        <v>144</v>
      </c>
      <c r="B144" s="2">
        <v>13.6</v>
      </c>
      <c r="C144" s="7">
        <f ca="1">[1]!b_calc_curve_chinabond("1102",C$1,$B144)</f>
        <v>2.2919999999999998</v>
      </c>
      <c r="D144" s="7">
        <f ca="1">[1]!b_calc_curve_chinabond("1102",D$1,$B144)</f>
        <v>2.2930999999999999</v>
      </c>
      <c r="E144" s="7">
        <f ca="1">[1]!b_calc_curve_chinabond("1102",E$1,$B144)</f>
        <v>0</v>
      </c>
      <c r="F144" s="7">
        <f ca="1">[1]!b_calc_curve_chinabond("1102",F$1,$B144)</f>
        <v>0</v>
      </c>
      <c r="G144" s="7">
        <f ca="1">[1]!b_calc_curve_chinabond("1102",G$1,$B144)</f>
        <v>2.2877999999999998</v>
      </c>
      <c r="H144" s="7">
        <f ca="1">[1]!b_calc_curve_chinabond("1102",H$1,$B144)</f>
        <v>2.2787999999999999</v>
      </c>
      <c r="I144" s="7">
        <f ca="1">[1]!b_calc_curve_chinabond("1102",I$1,$B144)</f>
        <v>2.2764000000000002</v>
      </c>
      <c r="J144" s="7">
        <f ca="1">[1]!b_calc_curve_chinabond("1102",J$1,$B144)</f>
        <v>2.2667000000000002</v>
      </c>
      <c r="K144" s="7">
        <f ca="1">[1]!b_calc_curve_chinabond("1102",K$1,$B144)</f>
        <v>2.2416</v>
      </c>
      <c r="L144" s="7">
        <f ca="1">[1]!b_calc_curve_chinabond("1102",L$1,$B144)</f>
        <v>0</v>
      </c>
      <c r="M144" s="7">
        <f ca="1">[1]!b_calc_curve_chinabond("1102",M$1,$B144)</f>
        <v>0</v>
      </c>
      <c r="N144" s="7">
        <f ca="1">[1]!b_calc_curve_chinabond("1102",N$1,$B144)</f>
        <v>2.2296999999999998</v>
      </c>
      <c r="O144" s="7">
        <f ca="1">[1]!b_calc_curve_chinabond("1102",O$1,$B144)</f>
        <v>2.2105000000000001</v>
      </c>
      <c r="P144" s="7">
        <f ca="1">[1]!b_calc_curve_chinabond("1102",P$1,$B144)</f>
        <v>2.2088999999999999</v>
      </c>
      <c r="Q144" s="7">
        <f ca="1">[1]!b_calc_curve_chinabond("1102",Q$1,$B144)</f>
        <v>2.2016</v>
      </c>
      <c r="R144" s="7">
        <f ca="1">[1]!b_calc_curve_chinabond("1102",R$1,$B144)</f>
        <v>2.2042000000000002</v>
      </c>
      <c r="S144" s="7">
        <f ca="1">[1]!b_calc_curve_chinabond("1102",S$1,$B144)</f>
        <v>0</v>
      </c>
      <c r="T144" s="7">
        <f ca="1">[1]!b_calc_curve_chinabond("1102",T$1,$B144)</f>
        <v>0</v>
      </c>
      <c r="U144" s="7">
        <f ca="1">[1]!b_calc_curve_chinabond("1102",U$1,$B144)</f>
        <v>2.2147000000000001</v>
      </c>
      <c r="V144" s="7">
        <f ca="1">[1]!b_calc_curve_chinabond("1102",V$1,$B144)</f>
        <v>2.2231999999999998</v>
      </c>
      <c r="W144" s="7">
        <f ca="1">[1]!b_calc_curve_chinabond("1102",W$1,$B144)</f>
        <v>2.2286000000000001</v>
      </c>
      <c r="X144" s="7">
        <f ca="1">[1]!b_calc_curve_chinabond("1102",X$1,$B144)</f>
        <v>2.2637999999999998</v>
      </c>
      <c r="Y144" s="7">
        <f ca="1">[1]!b_calc_curve_chinabond("1102",Y$1,$B144)</f>
        <v>2.2635000000000001</v>
      </c>
      <c r="Z144" s="7">
        <f ca="1">[1]!b_calc_curve_chinabond("1102",Z$1,$B144)</f>
        <v>0</v>
      </c>
      <c r="AA144" s="7">
        <f ca="1">[1]!b_calc_curve_chinabond("1102",AA$1,$B144)</f>
        <v>0</v>
      </c>
      <c r="AB144" s="7">
        <f ca="1">[1]!b_calc_curve_chinabond("1102",AB$1,$B144)</f>
        <v>2.2591999999999999</v>
      </c>
      <c r="AC144" s="7">
        <f ca="1">[1]!b_calc_curve_chinabond("1102",AC$1,$B144)</f>
        <v>2.2448000000000001</v>
      </c>
      <c r="AD144" s="7">
        <f ca="1">[1]!b_calc_curve_chinabond("1102",AD$1,$B144)</f>
        <v>2.2343999999999999</v>
      </c>
      <c r="AE144" s="7">
        <f ca="1">[1]!b_calc_curve_chinabond("1102",AE$1,$B144)</f>
        <v>2.2237</v>
      </c>
      <c r="AF144" s="7">
        <f ca="1">[1]!b_calc_curve_chinabond("1102",AF$1,$B144)</f>
        <v>0</v>
      </c>
      <c r="AG144" s="7">
        <f ca="1">[1]!b_calc_curve_chinabond("1102",AG$1,$B144)</f>
        <v>0</v>
      </c>
      <c r="AH144" s="7">
        <f ca="1">[1]!b_calc_curve_chinabond("1102",AH$1,$B144)</f>
        <v>0</v>
      </c>
      <c r="AI144" s="7">
        <f ca="1">[1]!b_calc_curve_chinabond("1102",AI$1,$B144)</f>
        <v>0</v>
      </c>
    </row>
    <row r="145" spans="1:35" ht="19.5" customHeight="1">
      <c r="A145" s="3" t="s">
        <v>145</v>
      </c>
      <c r="B145" s="4">
        <v>13.7</v>
      </c>
      <c r="C145" s="7">
        <f ca="1">[1]!b_calc_curve_chinabond("1102",C$1,$B145)</f>
        <v>2.2953000000000001</v>
      </c>
      <c r="D145" s="7">
        <f ca="1">[1]!b_calc_curve_chinabond("1102",D$1,$B145)</f>
        <v>2.2959999999999998</v>
      </c>
      <c r="E145" s="7">
        <f ca="1">[1]!b_calc_curve_chinabond("1102",E$1,$B145)</f>
        <v>0</v>
      </c>
      <c r="F145" s="7">
        <f ca="1">[1]!b_calc_curve_chinabond("1102",F$1,$B145)</f>
        <v>0</v>
      </c>
      <c r="G145" s="7">
        <f ca="1">[1]!b_calc_curve_chinabond("1102",G$1,$B145)</f>
        <v>2.2904</v>
      </c>
      <c r="H145" s="7">
        <f ca="1">[1]!b_calc_curve_chinabond("1102",H$1,$B145)</f>
        <v>2.2825000000000002</v>
      </c>
      <c r="I145" s="7">
        <f ca="1">[1]!b_calc_curve_chinabond("1102",I$1,$B145)</f>
        <v>2.2803</v>
      </c>
      <c r="J145" s="7">
        <f ca="1">[1]!b_calc_curve_chinabond("1102",J$1,$B145)</f>
        <v>2.2706</v>
      </c>
      <c r="K145" s="7">
        <f ca="1">[1]!b_calc_curve_chinabond("1102",K$1,$B145)</f>
        <v>2.2458999999999998</v>
      </c>
      <c r="L145" s="7">
        <f ca="1">[1]!b_calc_curve_chinabond("1102",L$1,$B145)</f>
        <v>0</v>
      </c>
      <c r="M145" s="7">
        <f ca="1">[1]!b_calc_curve_chinabond("1102",M$1,$B145)</f>
        <v>0</v>
      </c>
      <c r="N145" s="7">
        <f ca="1">[1]!b_calc_curve_chinabond("1102",N$1,$B145)</f>
        <v>2.2338</v>
      </c>
      <c r="O145" s="7">
        <f ca="1">[1]!b_calc_curve_chinabond("1102",O$1,$B145)</f>
        <v>2.2143000000000002</v>
      </c>
      <c r="P145" s="7">
        <f ca="1">[1]!b_calc_curve_chinabond("1102",P$1,$B145)</f>
        <v>2.2126999999999999</v>
      </c>
      <c r="Q145" s="7">
        <f ca="1">[1]!b_calc_curve_chinabond("1102",Q$1,$B145)</f>
        <v>2.2057000000000002</v>
      </c>
      <c r="R145" s="7">
        <f ca="1">[1]!b_calc_curve_chinabond("1102",R$1,$B145)</f>
        <v>2.2077</v>
      </c>
      <c r="S145" s="7">
        <f ca="1">[1]!b_calc_curve_chinabond("1102",S$1,$B145)</f>
        <v>0</v>
      </c>
      <c r="T145" s="7">
        <f ca="1">[1]!b_calc_curve_chinabond("1102",T$1,$B145)</f>
        <v>0</v>
      </c>
      <c r="U145" s="7">
        <f ca="1">[1]!b_calc_curve_chinabond("1102",U$1,$B145)</f>
        <v>2.2181999999999999</v>
      </c>
      <c r="V145" s="7">
        <f ca="1">[1]!b_calc_curve_chinabond("1102",V$1,$B145)</f>
        <v>2.2263999999999999</v>
      </c>
      <c r="W145" s="7">
        <f ca="1">[1]!b_calc_curve_chinabond("1102",W$1,$B145)</f>
        <v>2.2324000000000002</v>
      </c>
      <c r="X145" s="7">
        <f ca="1">[1]!b_calc_curve_chinabond("1102",X$1,$B145)</f>
        <v>2.2667000000000002</v>
      </c>
      <c r="Y145" s="7">
        <f ca="1">[1]!b_calc_curve_chinabond("1102",Y$1,$B145)</f>
        <v>2.2671999999999999</v>
      </c>
      <c r="Z145" s="7">
        <f ca="1">[1]!b_calc_curve_chinabond("1102",Z$1,$B145)</f>
        <v>0</v>
      </c>
      <c r="AA145" s="7">
        <f ca="1">[1]!b_calc_curve_chinabond("1102",AA$1,$B145)</f>
        <v>0</v>
      </c>
      <c r="AB145" s="7">
        <f ca="1">[1]!b_calc_curve_chinabond("1102",AB$1,$B145)</f>
        <v>2.2627000000000002</v>
      </c>
      <c r="AC145" s="7">
        <f ca="1">[1]!b_calc_curve_chinabond("1102",AC$1,$B145)</f>
        <v>2.2486999999999999</v>
      </c>
      <c r="AD145" s="7">
        <f ca="1">[1]!b_calc_curve_chinabond("1102",AD$1,$B145)</f>
        <v>2.2374000000000001</v>
      </c>
      <c r="AE145" s="7">
        <f ca="1">[1]!b_calc_curve_chinabond("1102",AE$1,$B145)</f>
        <v>2.2263999999999999</v>
      </c>
      <c r="AF145" s="7">
        <f ca="1">[1]!b_calc_curve_chinabond("1102",AF$1,$B145)</f>
        <v>0</v>
      </c>
      <c r="AG145" s="7">
        <f ca="1">[1]!b_calc_curve_chinabond("1102",AG$1,$B145)</f>
        <v>0</v>
      </c>
      <c r="AH145" s="7">
        <f ca="1">[1]!b_calc_curve_chinabond("1102",AH$1,$B145)</f>
        <v>0</v>
      </c>
      <c r="AI145" s="7">
        <f ca="1">[1]!b_calc_curve_chinabond("1102",AI$1,$B145)</f>
        <v>0</v>
      </c>
    </row>
    <row r="146" spans="1:35" ht="19.5" customHeight="1">
      <c r="A146" s="1" t="s">
        <v>146</v>
      </c>
      <c r="B146" s="2">
        <v>13.8</v>
      </c>
      <c r="C146" s="7">
        <f ca="1">[1]!b_calc_curve_chinabond("1102",C$1,$B146)</f>
        <v>2.2984</v>
      </c>
      <c r="D146" s="7">
        <f ca="1">[1]!b_calc_curve_chinabond("1102",D$1,$B146)</f>
        <v>2.2989999999999999</v>
      </c>
      <c r="E146" s="7">
        <f ca="1">[1]!b_calc_curve_chinabond("1102",E$1,$B146)</f>
        <v>0</v>
      </c>
      <c r="F146" s="7">
        <f ca="1">[1]!b_calc_curve_chinabond("1102",F$1,$B146)</f>
        <v>0</v>
      </c>
      <c r="G146" s="7">
        <f ca="1">[1]!b_calc_curve_chinabond("1102",G$1,$B146)</f>
        <v>2.2930000000000001</v>
      </c>
      <c r="H146" s="7">
        <f ca="1">[1]!b_calc_curve_chinabond("1102",H$1,$B146)</f>
        <v>2.2862</v>
      </c>
      <c r="I146" s="7">
        <f ca="1">[1]!b_calc_curve_chinabond("1102",I$1,$B146)</f>
        <v>2.2843</v>
      </c>
      <c r="J146" s="7">
        <f ca="1">[1]!b_calc_curve_chinabond("1102",J$1,$B146)</f>
        <v>2.2746</v>
      </c>
      <c r="K146" s="7">
        <f ca="1">[1]!b_calc_curve_chinabond("1102",K$1,$B146)</f>
        <v>2.2501000000000002</v>
      </c>
      <c r="L146" s="7">
        <f ca="1">[1]!b_calc_curve_chinabond("1102",L$1,$B146)</f>
        <v>0</v>
      </c>
      <c r="M146" s="7">
        <f ca="1">[1]!b_calc_curve_chinabond("1102",M$1,$B146)</f>
        <v>0</v>
      </c>
      <c r="N146" s="7">
        <f ca="1">[1]!b_calc_curve_chinabond("1102",N$1,$B146)</f>
        <v>2.2378999999999998</v>
      </c>
      <c r="O146" s="7">
        <f ca="1">[1]!b_calc_curve_chinabond("1102",O$1,$B146)</f>
        <v>2.2181000000000002</v>
      </c>
      <c r="P146" s="7">
        <f ca="1">[1]!b_calc_curve_chinabond("1102",P$1,$B146)</f>
        <v>2.2164999999999999</v>
      </c>
      <c r="Q146" s="7">
        <f ca="1">[1]!b_calc_curve_chinabond("1102",Q$1,$B146)</f>
        <v>2.2099000000000002</v>
      </c>
      <c r="R146" s="7">
        <f ca="1">[1]!b_calc_curve_chinabond("1102",R$1,$B146)</f>
        <v>2.2111000000000001</v>
      </c>
      <c r="S146" s="7">
        <f ca="1">[1]!b_calc_curve_chinabond("1102",S$1,$B146)</f>
        <v>0</v>
      </c>
      <c r="T146" s="7">
        <f ca="1">[1]!b_calc_curve_chinabond("1102",T$1,$B146)</f>
        <v>0</v>
      </c>
      <c r="U146" s="7">
        <f ca="1">[1]!b_calc_curve_chinabond("1102",U$1,$B146)</f>
        <v>2.2216</v>
      </c>
      <c r="V146" s="7">
        <f ca="1">[1]!b_calc_curve_chinabond("1102",V$1,$B146)</f>
        <v>2.2296</v>
      </c>
      <c r="W146" s="7">
        <f ca="1">[1]!b_calc_curve_chinabond("1102",W$1,$B146)</f>
        <v>2.2362000000000002</v>
      </c>
      <c r="X146" s="7">
        <f ca="1">[1]!b_calc_curve_chinabond("1102",X$1,$B146)</f>
        <v>2.2694999999999999</v>
      </c>
      <c r="Y146" s="7">
        <f ca="1">[1]!b_calc_curve_chinabond("1102",Y$1,$B146)</f>
        <v>2.2707999999999999</v>
      </c>
      <c r="Z146" s="7">
        <f ca="1">[1]!b_calc_curve_chinabond("1102",Z$1,$B146)</f>
        <v>0</v>
      </c>
      <c r="AA146" s="7">
        <f ca="1">[1]!b_calc_curve_chinabond("1102",AA$1,$B146)</f>
        <v>0</v>
      </c>
      <c r="AB146" s="7">
        <f ca="1">[1]!b_calc_curve_chinabond("1102",AB$1,$B146)</f>
        <v>2.2660999999999998</v>
      </c>
      <c r="AC146" s="7">
        <f ca="1">[1]!b_calc_curve_chinabond("1102",AC$1,$B146)</f>
        <v>2.2524999999999999</v>
      </c>
      <c r="AD146" s="7">
        <f ca="1">[1]!b_calc_curve_chinabond("1102",AD$1,$B146)</f>
        <v>2.2404999999999999</v>
      </c>
      <c r="AE146" s="7">
        <f ca="1">[1]!b_calc_curve_chinabond("1102",AE$1,$B146)</f>
        <v>2.2292000000000001</v>
      </c>
      <c r="AF146" s="7">
        <f ca="1">[1]!b_calc_curve_chinabond("1102",AF$1,$B146)</f>
        <v>0</v>
      </c>
      <c r="AG146" s="7">
        <f ca="1">[1]!b_calc_curve_chinabond("1102",AG$1,$B146)</f>
        <v>0</v>
      </c>
      <c r="AH146" s="7">
        <f ca="1">[1]!b_calc_curve_chinabond("1102",AH$1,$B146)</f>
        <v>0</v>
      </c>
      <c r="AI146" s="7">
        <f ca="1">[1]!b_calc_curve_chinabond("1102",AI$1,$B146)</f>
        <v>0</v>
      </c>
    </row>
    <row r="147" spans="1:35" ht="19.5" customHeight="1">
      <c r="A147" s="3" t="s">
        <v>147</v>
      </c>
      <c r="B147" s="4">
        <v>13.9</v>
      </c>
      <c r="C147" s="7">
        <f ca="1">[1]!b_calc_curve_chinabond("1102",C$1,$B147)</f>
        <v>2.3016000000000001</v>
      </c>
      <c r="D147" s="7">
        <f ca="1">[1]!b_calc_curve_chinabond("1102",D$1,$B147)</f>
        <v>2.3018999999999998</v>
      </c>
      <c r="E147" s="7">
        <f ca="1">[1]!b_calc_curve_chinabond("1102",E$1,$B147)</f>
        <v>0</v>
      </c>
      <c r="F147" s="7">
        <f ca="1">[1]!b_calc_curve_chinabond("1102",F$1,$B147)</f>
        <v>0</v>
      </c>
      <c r="G147" s="7">
        <f ca="1">[1]!b_calc_curve_chinabond("1102",G$1,$B147)</f>
        <v>2.2955999999999999</v>
      </c>
      <c r="H147" s="7">
        <f ca="1">[1]!b_calc_curve_chinabond("1102",H$1,$B147)</f>
        <v>2.2898999999999998</v>
      </c>
      <c r="I147" s="7">
        <f ca="1">[1]!b_calc_curve_chinabond("1102",I$1,$B147)</f>
        <v>2.2881999999999998</v>
      </c>
      <c r="J147" s="7">
        <f ca="1">[1]!b_calc_curve_chinabond("1102",J$1,$B147)</f>
        <v>2.2785000000000002</v>
      </c>
      <c r="K147" s="7">
        <f ca="1">[1]!b_calc_curve_chinabond("1102",K$1,$B147)</f>
        <v>2.2542</v>
      </c>
      <c r="L147" s="7">
        <f ca="1">[1]!b_calc_curve_chinabond("1102",L$1,$B147)</f>
        <v>0</v>
      </c>
      <c r="M147" s="7">
        <f ca="1">[1]!b_calc_curve_chinabond("1102",M$1,$B147)</f>
        <v>0</v>
      </c>
      <c r="N147" s="7">
        <f ca="1">[1]!b_calc_curve_chinabond("1102",N$1,$B147)</f>
        <v>2.2418999999999998</v>
      </c>
      <c r="O147" s="7">
        <f ca="1">[1]!b_calc_curve_chinabond("1102",O$1,$B147)</f>
        <v>2.2219000000000002</v>
      </c>
      <c r="P147" s="7">
        <f ca="1">[1]!b_calc_curve_chinabond("1102",P$1,$B147)</f>
        <v>2.2202000000000002</v>
      </c>
      <c r="Q147" s="7">
        <f ca="1">[1]!b_calc_curve_chinabond("1102",Q$1,$B147)</f>
        <v>2.214</v>
      </c>
      <c r="R147" s="7">
        <f ca="1">[1]!b_calc_curve_chinabond("1102",R$1,$B147)</f>
        <v>2.2145000000000001</v>
      </c>
      <c r="S147" s="7">
        <f ca="1">[1]!b_calc_curve_chinabond("1102",S$1,$B147)</f>
        <v>0</v>
      </c>
      <c r="T147" s="7">
        <f ca="1">[1]!b_calc_curve_chinabond("1102",T$1,$B147)</f>
        <v>0</v>
      </c>
      <c r="U147" s="7">
        <f ca="1">[1]!b_calc_curve_chinabond("1102",U$1,$B147)</f>
        <v>2.2250999999999999</v>
      </c>
      <c r="V147" s="7">
        <f ca="1">[1]!b_calc_curve_chinabond("1102",V$1,$B147)</f>
        <v>2.2328000000000001</v>
      </c>
      <c r="W147" s="7">
        <f ca="1">[1]!b_calc_curve_chinabond("1102",W$1,$B147)</f>
        <v>2.2400000000000002</v>
      </c>
      <c r="X147" s="7">
        <f ca="1">[1]!b_calc_curve_chinabond("1102",X$1,$B147)</f>
        <v>2.2723</v>
      </c>
      <c r="Y147" s="7">
        <f ca="1">[1]!b_calc_curve_chinabond("1102",Y$1,$B147)</f>
        <v>2.2744</v>
      </c>
      <c r="Z147" s="7">
        <f ca="1">[1]!b_calc_curve_chinabond("1102",Z$1,$B147)</f>
        <v>0</v>
      </c>
      <c r="AA147" s="7">
        <f ca="1">[1]!b_calc_curve_chinabond("1102",AA$1,$B147)</f>
        <v>0</v>
      </c>
      <c r="AB147" s="7">
        <f ca="1">[1]!b_calc_curve_chinabond("1102",AB$1,$B147)</f>
        <v>2.2694999999999999</v>
      </c>
      <c r="AC147" s="7">
        <f ca="1">[1]!b_calc_curve_chinabond("1102",AC$1,$B147)</f>
        <v>2.2563</v>
      </c>
      <c r="AD147" s="7">
        <f ca="1">[1]!b_calc_curve_chinabond("1102",AD$1,$B147)</f>
        <v>2.2435</v>
      </c>
      <c r="AE147" s="7">
        <f ca="1">[1]!b_calc_curve_chinabond("1102",AE$1,$B147)</f>
        <v>2.2319</v>
      </c>
      <c r="AF147" s="7">
        <f ca="1">[1]!b_calc_curve_chinabond("1102",AF$1,$B147)</f>
        <v>0</v>
      </c>
      <c r="AG147" s="7">
        <f ca="1">[1]!b_calc_curve_chinabond("1102",AG$1,$B147)</f>
        <v>0</v>
      </c>
      <c r="AH147" s="7">
        <f ca="1">[1]!b_calc_curve_chinabond("1102",AH$1,$B147)</f>
        <v>0</v>
      </c>
      <c r="AI147" s="7">
        <f ca="1">[1]!b_calc_curve_chinabond("1102",AI$1,$B147)</f>
        <v>0</v>
      </c>
    </row>
    <row r="148" spans="1:35" ht="19.5" customHeight="1">
      <c r="A148" s="1" t="s">
        <v>148</v>
      </c>
      <c r="B148" s="2">
        <v>14</v>
      </c>
      <c r="C148" s="7">
        <f ca="1">[1]!b_calc_curve_chinabond("1102",C$1,$B148)</f>
        <v>2.3048000000000002</v>
      </c>
      <c r="D148" s="7">
        <f ca="1">[1]!b_calc_curve_chinabond("1102",D$1,$B148)</f>
        <v>2.3048999999999999</v>
      </c>
      <c r="E148" s="7">
        <f ca="1">[1]!b_calc_curve_chinabond("1102",E$1,$B148)</f>
        <v>0</v>
      </c>
      <c r="F148" s="7">
        <f ca="1">[1]!b_calc_curve_chinabond("1102",F$1,$B148)</f>
        <v>0</v>
      </c>
      <c r="G148" s="7">
        <f ca="1">[1]!b_calc_curve_chinabond("1102",G$1,$B148)</f>
        <v>2.2982999999999998</v>
      </c>
      <c r="H148" s="7">
        <f ca="1">[1]!b_calc_curve_chinabond("1102",H$1,$B148)</f>
        <v>2.2934999999999999</v>
      </c>
      <c r="I148" s="7">
        <f ca="1">[1]!b_calc_curve_chinabond("1102",I$1,$B148)</f>
        <v>2.2921</v>
      </c>
      <c r="J148" s="7">
        <f ca="1">[1]!b_calc_curve_chinabond("1102",J$1,$B148)</f>
        <v>2.2824</v>
      </c>
      <c r="K148" s="7">
        <f ca="1">[1]!b_calc_curve_chinabond("1102",K$1,$B148)</f>
        <v>2.2584</v>
      </c>
      <c r="L148" s="7">
        <f ca="1">[1]!b_calc_curve_chinabond("1102",L$1,$B148)</f>
        <v>0</v>
      </c>
      <c r="M148" s="7">
        <f ca="1">[1]!b_calc_curve_chinabond("1102",M$1,$B148)</f>
        <v>0</v>
      </c>
      <c r="N148" s="7">
        <f ca="1">[1]!b_calc_curve_chinabond("1102",N$1,$B148)</f>
        <v>2.2458999999999998</v>
      </c>
      <c r="O148" s="7">
        <f ca="1">[1]!b_calc_curve_chinabond("1102",O$1,$B148)</f>
        <v>2.2256999999999998</v>
      </c>
      <c r="P148" s="7">
        <f ca="1">[1]!b_calc_curve_chinabond("1102",P$1,$B148)</f>
        <v>2.2239</v>
      </c>
      <c r="Q148" s="7">
        <f ca="1">[1]!b_calc_curve_chinabond("1102",Q$1,$B148)</f>
        <v>2.218</v>
      </c>
      <c r="R148" s="7">
        <f ca="1">[1]!b_calc_curve_chinabond("1102",R$1,$B148)</f>
        <v>2.218</v>
      </c>
      <c r="S148" s="7">
        <f ca="1">[1]!b_calc_curve_chinabond("1102",S$1,$B148)</f>
        <v>0</v>
      </c>
      <c r="T148" s="7">
        <f ca="1">[1]!b_calc_curve_chinabond("1102",T$1,$B148)</f>
        <v>0</v>
      </c>
      <c r="U148" s="7">
        <f ca="1">[1]!b_calc_curve_chinabond("1102",U$1,$B148)</f>
        <v>2.2284999999999999</v>
      </c>
      <c r="V148" s="7">
        <f ca="1">[1]!b_calc_curve_chinabond("1102",V$1,$B148)</f>
        <v>2.2360000000000002</v>
      </c>
      <c r="W148" s="7">
        <f ca="1">[1]!b_calc_curve_chinabond("1102",W$1,$B148)</f>
        <v>2.2437</v>
      </c>
      <c r="X148" s="7">
        <f ca="1">[1]!b_calc_curve_chinabond("1102",X$1,$B148)</f>
        <v>2.2751000000000001</v>
      </c>
      <c r="Y148" s="7">
        <f ca="1">[1]!b_calc_curve_chinabond("1102",Y$1,$B148)</f>
        <v>2.2778999999999998</v>
      </c>
      <c r="Z148" s="7">
        <f ca="1">[1]!b_calc_curve_chinabond("1102",Z$1,$B148)</f>
        <v>0</v>
      </c>
      <c r="AA148" s="7">
        <f ca="1">[1]!b_calc_curve_chinabond("1102",AA$1,$B148)</f>
        <v>0</v>
      </c>
      <c r="AB148" s="7">
        <f ca="1">[1]!b_calc_curve_chinabond("1102",AB$1,$B148)</f>
        <v>2.2728999999999999</v>
      </c>
      <c r="AC148" s="7">
        <f ca="1">[1]!b_calc_curve_chinabond("1102",AC$1,$B148)</f>
        <v>2.2599999999999998</v>
      </c>
      <c r="AD148" s="7">
        <f ca="1">[1]!b_calc_curve_chinabond("1102",AD$1,$B148)</f>
        <v>2.2465999999999999</v>
      </c>
      <c r="AE148" s="7">
        <f ca="1">[1]!b_calc_curve_chinabond("1102",AE$1,$B148)</f>
        <v>2.2345999999999999</v>
      </c>
      <c r="AF148" s="7">
        <f ca="1">[1]!b_calc_curve_chinabond("1102",AF$1,$B148)</f>
        <v>0</v>
      </c>
      <c r="AG148" s="7">
        <f ca="1">[1]!b_calc_curve_chinabond("1102",AG$1,$B148)</f>
        <v>0</v>
      </c>
      <c r="AH148" s="7">
        <f ca="1">[1]!b_calc_curve_chinabond("1102",AH$1,$B148)</f>
        <v>0</v>
      </c>
      <c r="AI148" s="7">
        <f ca="1">[1]!b_calc_curve_chinabond("1102",AI$1,$B148)</f>
        <v>0</v>
      </c>
    </row>
    <row r="149" spans="1:35" ht="19.5" customHeight="1">
      <c r="A149" s="3" t="s">
        <v>149</v>
      </c>
      <c r="B149" s="4">
        <v>14.1</v>
      </c>
      <c r="C149" s="7">
        <f ca="1">[1]!b_calc_curve_chinabond("1102",C$1,$B149)</f>
        <v>2.3079000000000001</v>
      </c>
      <c r="D149" s="7">
        <f ca="1">[1]!b_calc_curve_chinabond("1102",D$1,$B149)</f>
        <v>2.3079000000000001</v>
      </c>
      <c r="E149" s="7">
        <f ca="1">[1]!b_calc_curve_chinabond("1102",E$1,$B149)</f>
        <v>0</v>
      </c>
      <c r="F149" s="7">
        <f ca="1">[1]!b_calc_curve_chinabond("1102",F$1,$B149)</f>
        <v>0</v>
      </c>
      <c r="G149" s="7">
        <f ca="1">[1]!b_calc_curve_chinabond("1102",G$1,$B149)</f>
        <v>2.3008999999999999</v>
      </c>
      <c r="H149" s="7">
        <f ca="1">[1]!b_calc_curve_chinabond("1102",H$1,$B149)</f>
        <v>2.2972000000000001</v>
      </c>
      <c r="I149" s="7">
        <f ca="1">[1]!b_calc_curve_chinabond("1102",I$1,$B149)</f>
        <v>2.2961</v>
      </c>
      <c r="J149" s="7">
        <f ca="1">[1]!b_calc_curve_chinabond("1102",J$1,$B149)</f>
        <v>2.2863000000000002</v>
      </c>
      <c r="K149" s="7">
        <f ca="1">[1]!b_calc_curve_chinabond("1102",K$1,$B149)</f>
        <v>2.2625000000000002</v>
      </c>
      <c r="L149" s="7">
        <f ca="1">[1]!b_calc_curve_chinabond("1102",L$1,$B149)</f>
        <v>0</v>
      </c>
      <c r="M149" s="7">
        <f ca="1">[1]!b_calc_curve_chinabond("1102",M$1,$B149)</f>
        <v>0</v>
      </c>
      <c r="N149" s="7">
        <f ca="1">[1]!b_calc_curve_chinabond("1102",N$1,$B149)</f>
        <v>2.2498999999999998</v>
      </c>
      <c r="O149" s="7">
        <f ca="1">[1]!b_calc_curve_chinabond("1102",O$1,$B149)</f>
        <v>2.2294</v>
      </c>
      <c r="P149" s="7">
        <f ca="1">[1]!b_calc_curve_chinabond("1102",P$1,$B149)</f>
        <v>2.2275999999999998</v>
      </c>
      <c r="Q149" s="7">
        <f ca="1">[1]!b_calc_curve_chinabond("1102",Q$1,$B149)</f>
        <v>2.2221000000000002</v>
      </c>
      <c r="R149" s="7">
        <f ca="1">[1]!b_calc_curve_chinabond("1102",R$1,$B149)</f>
        <v>2.2214</v>
      </c>
      <c r="S149" s="7">
        <f ca="1">[1]!b_calc_curve_chinabond("1102",S$1,$B149)</f>
        <v>0</v>
      </c>
      <c r="T149" s="7">
        <f ca="1">[1]!b_calc_curve_chinabond("1102",T$1,$B149)</f>
        <v>0</v>
      </c>
      <c r="U149" s="7">
        <f ca="1">[1]!b_calc_curve_chinabond("1102",U$1,$B149)</f>
        <v>2.2320000000000002</v>
      </c>
      <c r="V149" s="7">
        <f ca="1">[1]!b_calc_curve_chinabond("1102",V$1,$B149)</f>
        <v>2.2391000000000001</v>
      </c>
      <c r="W149" s="7">
        <f ca="1">[1]!b_calc_curve_chinabond("1102",W$1,$B149)</f>
        <v>2.2473000000000001</v>
      </c>
      <c r="X149" s="7">
        <f ca="1">[1]!b_calc_curve_chinabond("1102",X$1,$B149)</f>
        <v>2.2778999999999998</v>
      </c>
      <c r="Y149" s="7">
        <f ca="1">[1]!b_calc_curve_chinabond("1102",Y$1,$B149)</f>
        <v>2.2814000000000001</v>
      </c>
      <c r="Z149" s="7">
        <f ca="1">[1]!b_calc_curve_chinabond("1102",Z$1,$B149)</f>
        <v>0</v>
      </c>
      <c r="AA149" s="7">
        <f ca="1">[1]!b_calc_curve_chinabond("1102",AA$1,$B149)</f>
        <v>0</v>
      </c>
      <c r="AB149" s="7">
        <f ca="1">[1]!b_calc_curve_chinabond("1102",AB$1,$B149)</f>
        <v>2.2761999999999998</v>
      </c>
      <c r="AC149" s="7">
        <f ca="1">[1]!b_calc_curve_chinabond("1102",AC$1,$B149)</f>
        <v>2.2637999999999998</v>
      </c>
      <c r="AD149" s="7">
        <f ca="1">[1]!b_calc_curve_chinabond("1102",AD$1,$B149)</f>
        <v>2.2496</v>
      </c>
      <c r="AE149" s="7">
        <f ca="1">[1]!b_calc_curve_chinabond("1102",AE$1,$B149)</f>
        <v>2.2374000000000001</v>
      </c>
      <c r="AF149" s="7">
        <f ca="1">[1]!b_calc_curve_chinabond("1102",AF$1,$B149)</f>
        <v>0</v>
      </c>
      <c r="AG149" s="7">
        <f ca="1">[1]!b_calc_curve_chinabond("1102",AG$1,$B149)</f>
        <v>0</v>
      </c>
      <c r="AH149" s="7">
        <f ca="1">[1]!b_calc_curve_chinabond("1102",AH$1,$B149)</f>
        <v>0</v>
      </c>
      <c r="AI149" s="7">
        <f ca="1">[1]!b_calc_curve_chinabond("1102",AI$1,$B149)</f>
        <v>0</v>
      </c>
    </row>
    <row r="150" spans="1:35" ht="19.5" customHeight="1">
      <c r="A150" s="1" t="s">
        <v>150</v>
      </c>
      <c r="B150" s="2">
        <v>14.2</v>
      </c>
      <c r="C150" s="7">
        <f ca="1">[1]!b_calc_curve_chinabond("1102",C$1,$B150)</f>
        <v>2.3111000000000002</v>
      </c>
      <c r="D150" s="7">
        <f ca="1">[1]!b_calc_curve_chinabond("1102",D$1,$B150)</f>
        <v>2.3109000000000002</v>
      </c>
      <c r="E150" s="7">
        <f ca="1">[1]!b_calc_curve_chinabond("1102",E$1,$B150)</f>
        <v>0</v>
      </c>
      <c r="F150" s="7">
        <f ca="1">[1]!b_calc_curve_chinabond("1102",F$1,$B150)</f>
        <v>0</v>
      </c>
      <c r="G150" s="7">
        <f ca="1">[1]!b_calc_curve_chinabond("1102",G$1,$B150)</f>
        <v>2.3035999999999999</v>
      </c>
      <c r="H150" s="7">
        <f ca="1">[1]!b_calc_curve_chinabond("1102",H$1,$B150)</f>
        <v>2.3008000000000002</v>
      </c>
      <c r="I150" s="7">
        <f ca="1">[1]!b_calc_curve_chinabond("1102",I$1,$B150)</f>
        <v>2.2999000000000001</v>
      </c>
      <c r="J150" s="7">
        <f ca="1">[1]!b_calc_curve_chinabond("1102",J$1,$B150)</f>
        <v>2.2902</v>
      </c>
      <c r="K150" s="7">
        <f ca="1">[1]!b_calc_curve_chinabond("1102",K$1,$B150)</f>
        <v>2.2665000000000002</v>
      </c>
      <c r="L150" s="7">
        <f ca="1">[1]!b_calc_curve_chinabond("1102",L$1,$B150)</f>
        <v>0</v>
      </c>
      <c r="M150" s="7">
        <f ca="1">[1]!b_calc_curve_chinabond("1102",M$1,$B150)</f>
        <v>0</v>
      </c>
      <c r="N150" s="7">
        <f ca="1">[1]!b_calc_curve_chinabond("1102",N$1,$B150)</f>
        <v>2.2538999999999998</v>
      </c>
      <c r="O150" s="7">
        <f ca="1">[1]!b_calc_curve_chinabond("1102",O$1,$B150)</f>
        <v>2.2330000000000001</v>
      </c>
      <c r="P150" s="7">
        <f ca="1">[1]!b_calc_curve_chinabond("1102",P$1,$B150)</f>
        <v>2.2313000000000001</v>
      </c>
      <c r="Q150" s="7">
        <f ca="1">[1]!b_calc_curve_chinabond("1102",Q$1,$B150)</f>
        <v>2.226</v>
      </c>
      <c r="R150" s="7">
        <f ca="1">[1]!b_calc_curve_chinabond("1102",R$1,$B150)</f>
        <v>2.2248000000000001</v>
      </c>
      <c r="S150" s="7">
        <f ca="1">[1]!b_calc_curve_chinabond("1102",S$1,$B150)</f>
        <v>0</v>
      </c>
      <c r="T150" s="7">
        <f ca="1">[1]!b_calc_curve_chinabond("1102",T$1,$B150)</f>
        <v>0</v>
      </c>
      <c r="U150" s="7">
        <f ca="1">[1]!b_calc_curve_chinabond("1102",U$1,$B150)</f>
        <v>2.2353999999999998</v>
      </c>
      <c r="V150" s="7">
        <f ca="1">[1]!b_calc_curve_chinabond("1102",V$1,$B150)</f>
        <v>2.2423000000000002</v>
      </c>
      <c r="W150" s="7">
        <f ca="1">[1]!b_calc_curve_chinabond("1102",W$1,$B150)</f>
        <v>2.2509000000000001</v>
      </c>
      <c r="X150" s="7">
        <f ca="1">[1]!b_calc_curve_chinabond("1102",X$1,$B150)</f>
        <v>2.2808000000000002</v>
      </c>
      <c r="Y150" s="7">
        <f ca="1">[1]!b_calc_curve_chinabond("1102",Y$1,$B150)</f>
        <v>2.2848999999999999</v>
      </c>
      <c r="Z150" s="7">
        <f ca="1">[1]!b_calc_curve_chinabond("1102",Z$1,$B150)</f>
        <v>0</v>
      </c>
      <c r="AA150" s="7">
        <f ca="1">[1]!b_calc_curve_chinabond("1102",AA$1,$B150)</f>
        <v>0</v>
      </c>
      <c r="AB150" s="7">
        <f ca="1">[1]!b_calc_curve_chinabond("1102",AB$1,$B150)</f>
        <v>2.2795999999999998</v>
      </c>
      <c r="AC150" s="7">
        <f ca="1">[1]!b_calc_curve_chinabond("1102",AC$1,$B150)</f>
        <v>2.2673999999999999</v>
      </c>
      <c r="AD150" s="7">
        <f ca="1">[1]!b_calc_curve_chinabond("1102",AD$1,$B150)</f>
        <v>2.2526999999999999</v>
      </c>
      <c r="AE150" s="7">
        <f ca="1">[1]!b_calc_curve_chinabond("1102",AE$1,$B150)</f>
        <v>2.2401</v>
      </c>
      <c r="AF150" s="7">
        <f ca="1">[1]!b_calc_curve_chinabond("1102",AF$1,$B150)</f>
        <v>0</v>
      </c>
      <c r="AG150" s="7">
        <f ca="1">[1]!b_calc_curve_chinabond("1102",AG$1,$B150)</f>
        <v>0</v>
      </c>
      <c r="AH150" s="7">
        <f ca="1">[1]!b_calc_curve_chinabond("1102",AH$1,$B150)</f>
        <v>0</v>
      </c>
      <c r="AI150" s="7">
        <f ca="1">[1]!b_calc_curve_chinabond("1102",AI$1,$B150)</f>
        <v>0</v>
      </c>
    </row>
    <row r="151" spans="1:35" ht="19.5" customHeight="1">
      <c r="A151" s="3" t="s">
        <v>151</v>
      </c>
      <c r="B151" s="4">
        <v>14.3</v>
      </c>
      <c r="C151" s="7">
        <f ca="1">[1]!b_calc_curve_chinabond("1102",C$1,$B151)</f>
        <v>2.3142</v>
      </c>
      <c r="D151" s="7">
        <f ca="1">[1]!b_calc_curve_chinabond("1102",D$1,$B151)</f>
        <v>2.3138999999999998</v>
      </c>
      <c r="E151" s="7">
        <f ca="1">[1]!b_calc_curve_chinabond("1102",E$1,$B151)</f>
        <v>0</v>
      </c>
      <c r="F151" s="7">
        <f ca="1">[1]!b_calc_curve_chinabond("1102",F$1,$B151)</f>
        <v>0</v>
      </c>
      <c r="G151" s="7">
        <f ca="1">[1]!b_calc_curve_chinabond("1102",G$1,$B151)</f>
        <v>2.3062999999999998</v>
      </c>
      <c r="H151" s="7">
        <f ca="1">[1]!b_calc_curve_chinabond("1102",H$1,$B151)</f>
        <v>2.3043999999999998</v>
      </c>
      <c r="I151" s="7">
        <f ca="1">[1]!b_calc_curve_chinabond("1102",I$1,$B151)</f>
        <v>2.3037999999999998</v>
      </c>
      <c r="J151" s="7">
        <f ca="1">[1]!b_calc_curve_chinabond("1102",J$1,$B151)</f>
        <v>2.2940999999999998</v>
      </c>
      <c r="K151" s="7">
        <f ca="1">[1]!b_calc_curve_chinabond("1102",K$1,$B151)</f>
        <v>2.2705000000000002</v>
      </c>
      <c r="L151" s="7">
        <f ca="1">[1]!b_calc_curve_chinabond("1102",L$1,$B151)</f>
        <v>0</v>
      </c>
      <c r="M151" s="7">
        <f ca="1">[1]!b_calc_curve_chinabond("1102",M$1,$B151)</f>
        <v>0</v>
      </c>
      <c r="N151" s="7">
        <f ca="1">[1]!b_calc_curve_chinabond("1102",N$1,$B151)</f>
        <v>2.2578</v>
      </c>
      <c r="O151" s="7">
        <f ca="1">[1]!b_calc_curve_chinabond("1102",O$1,$B151)</f>
        <v>2.2366999999999999</v>
      </c>
      <c r="P151" s="7">
        <f ca="1">[1]!b_calc_curve_chinabond("1102",P$1,$B151)</f>
        <v>2.2349000000000001</v>
      </c>
      <c r="Q151" s="7">
        <f ca="1">[1]!b_calc_curve_chinabond("1102",Q$1,$B151)</f>
        <v>2.23</v>
      </c>
      <c r="R151" s="7">
        <f ca="1">[1]!b_calc_curve_chinabond("1102",R$1,$B151)</f>
        <v>2.2281</v>
      </c>
      <c r="S151" s="7">
        <f ca="1">[1]!b_calc_curve_chinabond("1102",S$1,$B151)</f>
        <v>0</v>
      </c>
      <c r="T151" s="7">
        <f ca="1">[1]!b_calc_curve_chinabond("1102",T$1,$B151)</f>
        <v>0</v>
      </c>
      <c r="U151" s="7">
        <f ca="1">[1]!b_calc_curve_chinabond("1102",U$1,$B151)</f>
        <v>2.2387999999999999</v>
      </c>
      <c r="V151" s="7">
        <f ca="1">[1]!b_calc_curve_chinabond("1102",V$1,$B151)</f>
        <v>2.2454000000000001</v>
      </c>
      <c r="W151" s="7">
        <f ca="1">[1]!b_calc_curve_chinabond("1102",W$1,$B151)</f>
        <v>2.2545000000000002</v>
      </c>
      <c r="X151" s="7">
        <f ca="1">[1]!b_calc_curve_chinabond("1102",X$1,$B151)</f>
        <v>2.2835999999999999</v>
      </c>
      <c r="Y151" s="7">
        <f ca="1">[1]!b_calc_curve_chinabond("1102",Y$1,$B151)</f>
        <v>2.2884000000000002</v>
      </c>
      <c r="Z151" s="7">
        <f ca="1">[1]!b_calc_curve_chinabond("1102",Z$1,$B151)</f>
        <v>0</v>
      </c>
      <c r="AA151" s="7">
        <f ca="1">[1]!b_calc_curve_chinabond("1102",AA$1,$B151)</f>
        <v>0</v>
      </c>
      <c r="AB151" s="7">
        <f ca="1">[1]!b_calc_curve_chinabond("1102",AB$1,$B151)</f>
        <v>2.2829000000000002</v>
      </c>
      <c r="AC151" s="7">
        <f ca="1">[1]!b_calc_curve_chinabond("1102",AC$1,$B151)</f>
        <v>2.2711000000000001</v>
      </c>
      <c r="AD151" s="7">
        <f ca="1">[1]!b_calc_curve_chinabond("1102",AD$1,$B151)</f>
        <v>2.2557</v>
      </c>
      <c r="AE151" s="7">
        <f ca="1">[1]!b_calc_curve_chinabond("1102",AE$1,$B151)</f>
        <v>2.2429000000000001</v>
      </c>
      <c r="AF151" s="7">
        <f ca="1">[1]!b_calc_curve_chinabond("1102",AF$1,$B151)</f>
        <v>0</v>
      </c>
      <c r="AG151" s="7">
        <f ca="1">[1]!b_calc_curve_chinabond("1102",AG$1,$B151)</f>
        <v>0</v>
      </c>
      <c r="AH151" s="7">
        <f ca="1">[1]!b_calc_curve_chinabond("1102",AH$1,$B151)</f>
        <v>0</v>
      </c>
      <c r="AI151" s="7">
        <f ca="1">[1]!b_calc_curve_chinabond("1102",AI$1,$B151)</f>
        <v>0</v>
      </c>
    </row>
    <row r="152" spans="1:35" ht="19.5" customHeight="1">
      <c r="A152" s="1" t="s">
        <v>152</v>
      </c>
      <c r="B152" s="2">
        <v>14.4</v>
      </c>
      <c r="C152" s="7">
        <f ca="1">[1]!b_calc_curve_chinabond("1102",C$1,$B152)</f>
        <v>2.3172999999999999</v>
      </c>
      <c r="D152" s="7">
        <f ca="1">[1]!b_calc_curve_chinabond("1102",D$1,$B152)</f>
        <v>2.3169</v>
      </c>
      <c r="E152" s="7">
        <f ca="1">[1]!b_calc_curve_chinabond("1102",E$1,$B152)</f>
        <v>0</v>
      </c>
      <c r="F152" s="7">
        <f ca="1">[1]!b_calc_curve_chinabond("1102",F$1,$B152)</f>
        <v>0</v>
      </c>
      <c r="G152" s="7">
        <f ca="1">[1]!b_calc_curve_chinabond("1102",G$1,$B152)</f>
        <v>2.3090999999999999</v>
      </c>
      <c r="H152" s="7">
        <f ca="1">[1]!b_calc_curve_chinabond("1102",H$1,$B152)</f>
        <v>2.3079999999999998</v>
      </c>
      <c r="I152" s="7">
        <f ca="1">[1]!b_calc_curve_chinabond("1102",I$1,$B152)</f>
        <v>2.3077000000000001</v>
      </c>
      <c r="J152" s="7">
        <f ca="1">[1]!b_calc_curve_chinabond("1102",J$1,$B152)</f>
        <v>2.2978999999999998</v>
      </c>
      <c r="K152" s="7">
        <f ca="1">[1]!b_calc_curve_chinabond("1102",K$1,$B152)</f>
        <v>2.2745000000000002</v>
      </c>
      <c r="L152" s="7">
        <f ca="1">[1]!b_calc_curve_chinabond("1102",L$1,$B152)</f>
        <v>0</v>
      </c>
      <c r="M152" s="7">
        <f ca="1">[1]!b_calc_curve_chinabond("1102",M$1,$B152)</f>
        <v>0</v>
      </c>
      <c r="N152" s="7">
        <f ca="1">[1]!b_calc_curve_chinabond("1102",N$1,$B152)</f>
        <v>2.2616000000000001</v>
      </c>
      <c r="O152" s="7">
        <f ca="1">[1]!b_calc_curve_chinabond("1102",O$1,$B152)</f>
        <v>2.2403</v>
      </c>
      <c r="P152" s="7">
        <f ca="1">[1]!b_calc_curve_chinabond("1102",P$1,$B152)</f>
        <v>2.2385000000000002</v>
      </c>
      <c r="Q152" s="7">
        <f ca="1">[1]!b_calc_curve_chinabond("1102",Q$1,$B152)</f>
        <v>2.2338</v>
      </c>
      <c r="R152" s="7">
        <f ca="1">[1]!b_calc_curve_chinabond("1102",R$1,$B152)</f>
        <v>2.2315</v>
      </c>
      <c r="S152" s="7">
        <f ca="1">[1]!b_calc_curve_chinabond("1102",S$1,$B152)</f>
        <v>0</v>
      </c>
      <c r="T152" s="7">
        <f ca="1">[1]!b_calc_curve_chinabond("1102",T$1,$B152)</f>
        <v>0</v>
      </c>
      <c r="U152" s="7">
        <f ca="1">[1]!b_calc_curve_chinabond("1102",U$1,$B152)</f>
        <v>2.2421000000000002</v>
      </c>
      <c r="V152" s="7">
        <f ca="1">[1]!b_calc_curve_chinabond("1102",V$1,$B152)</f>
        <v>2.2486000000000002</v>
      </c>
      <c r="W152" s="7">
        <f ca="1">[1]!b_calc_curve_chinabond("1102",W$1,$B152)</f>
        <v>2.258</v>
      </c>
      <c r="X152" s="7">
        <f ca="1">[1]!b_calc_curve_chinabond("1102",X$1,$B152)</f>
        <v>2.2864</v>
      </c>
      <c r="Y152" s="7">
        <f ca="1">[1]!b_calc_curve_chinabond("1102",Y$1,$B152)</f>
        <v>2.2917999999999998</v>
      </c>
      <c r="Z152" s="7">
        <f ca="1">[1]!b_calc_curve_chinabond("1102",Z$1,$B152)</f>
        <v>0</v>
      </c>
      <c r="AA152" s="7">
        <f ca="1">[1]!b_calc_curve_chinabond("1102",AA$1,$B152)</f>
        <v>0</v>
      </c>
      <c r="AB152" s="7">
        <f ca="1">[1]!b_calc_curve_chinabond("1102",AB$1,$B152)</f>
        <v>2.2862</v>
      </c>
      <c r="AC152" s="7">
        <f ca="1">[1]!b_calc_curve_chinabond("1102",AC$1,$B152)</f>
        <v>2.2746</v>
      </c>
      <c r="AD152" s="7">
        <f ca="1">[1]!b_calc_curve_chinabond("1102",AD$1,$B152)</f>
        <v>2.2587999999999999</v>
      </c>
      <c r="AE152" s="7">
        <f ca="1">[1]!b_calc_curve_chinabond("1102",AE$1,$B152)</f>
        <v>2.2456999999999998</v>
      </c>
      <c r="AF152" s="7">
        <f ca="1">[1]!b_calc_curve_chinabond("1102",AF$1,$B152)</f>
        <v>0</v>
      </c>
      <c r="AG152" s="7">
        <f ca="1">[1]!b_calc_curve_chinabond("1102",AG$1,$B152)</f>
        <v>0</v>
      </c>
      <c r="AH152" s="7">
        <f ca="1">[1]!b_calc_curve_chinabond("1102",AH$1,$B152)</f>
        <v>0</v>
      </c>
      <c r="AI152" s="7">
        <f ca="1">[1]!b_calc_curve_chinabond("1102",AI$1,$B152)</f>
        <v>0</v>
      </c>
    </row>
    <row r="153" spans="1:35" ht="19.5" customHeight="1">
      <c r="A153" s="3" t="s">
        <v>153</v>
      </c>
      <c r="B153" s="4">
        <v>14.5</v>
      </c>
      <c r="C153" s="7">
        <f ca="1">[1]!b_calc_curve_chinabond("1102",C$1,$B153)</f>
        <v>2.3203999999999998</v>
      </c>
      <c r="D153" s="7">
        <f ca="1">[1]!b_calc_curve_chinabond("1102",D$1,$B153)</f>
        <v>2.3199999999999998</v>
      </c>
      <c r="E153" s="7">
        <f ca="1">[1]!b_calc_curve_chinabond("1102",E$1,$B153)</f>
        <v>0</v>
      </c>
      <c r="F153" s="7">
        <f ca="1">[1]!b_calc_curve_chinabond("1102",F$1,$B153)</f>
        <v>0</v>
      </c>
      <c r="G153" s="7">
        <f ca="1">[1]!b_calc_curve_chinabond("1102",G$1,$B153)</f>
        <v>2.3117999999999999</v>
      </c>
      <c r="H153" s="7">
        <f ca="1">[1]!b_calc_curve_chinabond("1102",H$1,$B153)</f>
        <v>2.3115999999999999</v>
      </c>
      <c r="I153" s="7">
        <f ca="1">[1]!b_calc_curve_chinabond("1102",I$1,$B153)</f>
        <v>2.3115000000000001</v>
      </c>
      <c r="J153" s="7">
        <f ca="1">[1]!b_calc_curve_chinabond("1102",J$1,$B153)</f>
        <v>2.3018000000000001</v>
      </c>
      <c r="K153" s="7">
        <f ca="1">[1]!b_calc_curve_chinabond("1102",K$1,$B153)</f>
        <v>2.2784</v>
      </c>
      <c r="L153" s="7">
        <f ca="1">[1]!b_calc_curve_chinabond("1102",L$1,$B153)</f>
        <v>0</v>
      </c>
      <c r="M153" s="7">
        <f ca="1">[1]!b_calc_curve_chinabond("1102",M$1,$B153)</f>
        <v>0</v>
      </c>
      <c r="N153" s="7">
        <f ca="1">[1]!b_calc_curve_chinabond("1102",N$1,$B153)</f>
        <v>2.2654000000000001</v>
      </c>
      <c r="O153" s="7">
        <f ca="1">[1]!b_calc_curve_chinabond("1102",O$1,$B153)</f>
        <v>2.2437999999999998</v>
      </c>
      <c r="P153" s="7">
        <f ca="1">[1]!b_calc_curve_chinabond("1102",P$1,$B153)</f>
        <v>2.242</v>
      </c>
      <c r="Q153" s="7">
        <f ca="1">[1]!b_calc_curve_chinabond("1102",Q$1,$B153)</f>
        <v>2.2376</v>
      </c>
      <c r="R153" s="7">
        <f ca="1">[1]!b_calc_curve_chinabond("1102",R$1,$B153)</f>
        <v>2.2349000000000001</v>
      </c>
      <c r="S153" s="7">
        <f ca="1">[1]!b_calc_curve_chinabond("1102",S$1,$B153)</f>
        <v>0</v>
      </c>
      <c r="T153" s="7">
        <f ca="1">[1]!b_calc_curve_chinabond("1102",T$1,$B153)</f>
        <v>0</v>
      </c>
      <c r="U153" s="7">
        <f ca="1">[1]!b_calc_curve_chinabond("1102",U$1,$B153)</f>
        <v>2.2454999999999998</v>
      </c>
      <c r="V153" s="7">
        <f ca="1">[1]!b_calc_curve_chinabond("1102",V$1,$B153)</f>
        <v>2.2517</v>
      </c>
      <c r="W153" s="7">
        <f ca="1">[1]!b_calc_curve_chinabond("1102",W$1,$B153)</f>
        <v>2.2614000000000001</v>
      </c>
      <c r="X153" s="7">
        <f ca="1">[1]!b_calc_curve_chinabond("1102",X$1,$B153)</f>
        <v>2.2892999999999999</v>
      </c>
      <c r="Y153" s="7">
        <f ca="1">[1]!b_calc_curve_chinabond("1102",Y$1,$B153)</f>
        <v>2.2951999999999999</v>
      </c>
      <c r="Z153" s="7">
        <f ca="1">[1]!b_calc_curve_chinabond("1102",Z$1,$B153)</f>
        <v>0</v>
      </c>
      <c r="AA153" s="7">
        <f ca="1">[1]!b_calc_curve_chinabond("1102",AA$1,$B153)</f>
        <v>0</v>
      </c>
      <c r="AB153" s="7">
        <f ca="1">[1]!b_calc_curve_chinabond("1102",AB$1,$B153)</f>
        <v>2.2894999999999999</v>
      </c>
      <c r="AC153" s="7">
        <f ca="1">[1]!b_calc_curve_chinabond("1102",AC$1,$B153)</f>
        <v>2.2780999999999998</v>
      </c>
      <c r="AD153" s="7">
        <f ca="1">[1]!b_calc_curve_chinabond("1102",AD$1,$B153)</f>
        <v>2.2618</v>
      </c>
      <c r="AE153" s="7">
        <f ca="1">[1]!b_calc_curve_chinabond("1102",AE$1,$B153)</f>
        <v>2.2484000000000002</v>
      </c>
      <c r="AF153" s="7">
        <f ca="1">[1]!b_calc_curve_chinabond("1102",AF$1,$B153)</f>
        <v>0</v>
      </c>
      <c r="AG153" s="7">
        <f ca="1">[1]!b_calc_curve_chinabond("1102",AG$1,$B153)</f>
        <v>0</v>
      </c>
      <c r="AH153" s="7">
        <f ca="1">[1]!b_calc_curve_chinabond("1102",AH$1,$B153)</f>
        <v>0</v>
      </c>
      <c r="AI153" s="7">
        <f ca="1">[1]!b_calc_curve_chinabond("1102",AI$1,$B153)</f>
        <v>0</v>
      </c>
    </row>
    <row r="154" spans="1:35" ht="19.5" customHeight="1">
      <c r="A154" s="1" t="s">
        <v>154</v>
      </c>
      <c r="B154" s="2">
        <v>14.6</v>
      </c>
      <c r="C154" s="7">
        <f ca="1">[1]!b_calc_curve_chinabond("1102",C$1,$B154)</f>
        <v>2.3235000000000001</v>
      </c>
      <c r="D154" s="7">
        <f ca="1">[1]!b_calc_curve_chinabond("1102",D$1,$B154)</f>
        <v>2.3231000000000002</v>
      </c>
      <c r="E154" s="7">
        <f ca="1">[1]!b_calc_curve_chinabond("1102",E$1,$B154)</f>
        <v>0</v>
      </c>
      <c r="F154" s="7">
        <f ca="1">[1]!b_calc_curve_chinabond("1102",F$1,$B154)</f>
        <v>0</v>
      </c>
      <c r="G154" s="7">
        <f ca="1">[1]!b_calc_curve_chinabond("1102",G$1,$B154)</f>
        <v>2.3147000000000002</v>
      </c>
      <c r="H154" s="7">
        <f ca="1">[1]!b_calc_curve_chinabond("1102",H$1,$B154)</f>
        <v>2.3151999999999999</v>
      </c>
      <c r="I154" s="7">
        <f ca="1">[1]!b_calc_curve_chinabond("1102",I$1,$B154)</f>
        <v>2.3153000000000001</v>
      </c>
      <c r="J154" s="7">
        <f ca="1">[1]!b_calc_curve_chinabond("1102",J$1,$B154)</f>
        <v>2.3056000000000001</v>
      </c>
      <c r="K154" s="7">
        <f ca="1">[1]!b_calc_curve_chinabond("1102",K$1,$B154)</f>
        <v>2.2822</v>
      </c>
      <c r="L154" s="7">
        <f ca="1">[1]!b_calc_curve_chinabond("1102",L$1,$B154)</f>
        <v>0</v>
      </c>
      <c r="M154" s="7">
        <f ca="1">[1]!b_calc_curve_chinabond("1102",M$1,$B154)</f>
        <v>0</v>
      </c>
      <c r="N154" s="7">
        <f ca="1">[1]!b_calc_curve_chinabond("1102",N$1,$B154)</f>
        <v>2.2690999999999999</v>
      </c>
      <c r="O154" s="7">
        <f ca="1">[1]!b_calc_curve_chinabond("1102",O$1,$B154)</f>
        <v>2.2473000000000001</v>
      </c>
      <c r="P154" s="7">
        <f ca="1">[1]!b_calc_curve_chinabond("1102",P$1,$B154)</f>
        <v>2.2454000000000001</v>
      </c>
      <c r="Q154" s="7">
        <f ca="1">[1]!b_calc_curve_chinabond("1102",Q$1,$B154)</f>
        <v>2.2412999999999998</v>
      </c>
      <c r="R154" s="7">
        <f ca="1">[1]!b_calc_curve_chinabond("1102",R$1,$B154)</f>
        <v>2.2382</v>
      </c>
      <c r="S154" s="7">
        <f ca="1">[1]!b_calc_curve_chinabond("1102",S$1,$B154)</f>
        <v>0</v>
      </c>
      <c r="T154" s="7">
        <f ca="1">[1]!b_calc_curve_chinabond("1102",T$1,$B154)</f>
        <v>0</v>
      </c>
      <c r="U154" s="7">
        <f ca="1">[1]!b_calc_curve_chinabond("1102",U$1,$B154)</f>
        <v>2.2488000000000001</v>
      </c>
      <c r="V154" s="7">
        <f ca="1">[1]!b_calc_curve_chinabond("1102",V$1,$B154)</f>
        <v>2.2547000000000001</v>
      </c>
      <c r="W154" s="7">
        <f ca="1">[1]!b_calc_curve_chinabond("1102",W$1,$B154)</f>
        <v>2.2648000000000001</v>
      </c>
      <c r="X154" s="7">
        <f ca="1">[1]!b_calc_curve_chinabond("1102",X$1,$B154)</f>
        <v>2.2921</v>
      </c>
      <c r="Y154" s="7">
        <f ca="1">[1]!b_calc_curve_chinabond("1102",Y$1,$B154)</f>
        <v>2.2985000000000002</v>
      </c>
      <c r="Z154" s="7">
        <f ca="1">[1]!b_calc_curve_chinabond("1102",Z$1,$B154)</f>
        <v>0</v>
      </c>
      <c r="AA154" s="7">
        <f ca="1">[1]!b_calc_curve_chinabond("1102",AA$1,$B154)</f>
        <v>0</v>
      </c>
      <c r="AB154" s="7">
        <f ca="1">[1]!b_calc_curve_chinabond("1102",AB$1,$B154)</f>
        <v>2.2927</v>
      </c>
      <c r="AC154" s="7">
        <f ca="1">[1]!b_calc_curve_chinabond("1102",AC$1,$B154)</f>
        <v>2.2814999999999999</v>
      </c>
      <c r="AD154" s="7">
        <f ca="1">[1]!b_calc_curve_chinabond("1102",AD$1,$B154)</f>
        <v>2.2648000000000001</v>
      </c>
      <c r="AE154" s="7">
        <f ca="1">[1]!b_calc_curve_chinabond("1102",AE$1,$B154)</f>
        <v>2.2511999999999999</v>
      </c>
      <c r="AF154" s="7">
        <f ca="1">[1]!b_calc_curve_chinabond("1102",AF$1,$B154)</f>
        <v>0</v>
      </c>
      <c r="AG154" s="7">
        <f ca="1">[1]!b_calc_curve_chinabond("1102",AG$1,$B154)</f>
        <v>0</v>
      </c>
      <c r="AH154" s="7">
        <f ca="1">[1]!b_calc_curve_chinabond("1102",AH$1,$B154)</f>
        <v>0</v>
      </c>
      <c r="AI154" s="7">
        <f ca="1">[1]!b_calc_curve_chinabond("1102",AI$1,$B154)</f>
        <v>0</v>
      </c>
    </row>
    <row r="155" spans="1:35" ht="19.5" customHeight="1">
      <c r="A155" s="3" t="s">
        <v>155</v>
      </c>
      <c r="B155" s="4">
        <v>14.7</v>
      </c>
      <c r="C155" s="7">
        <f ca="1">[1]!b_calc_curve_chinabond("1102",C$1,$B155)</f>
        <v>2.3264999999999998</v>
      </c>
      <c r="D155" s="7">
        <f ca="1">[1]!b_calc_curve_chinabond("1102",D$1,$B155)</f>
        <v>2.3262</v>
      </c>
      <c r="E155" s="7">
        <f ca="1">[1]!b_calc_curve_chinabond("1102",E$1,$B155)</f>
        <v>0</v>
      </c>
      <c r="F155" s="7">
        <f ca="1">[1]!b_calc_curve_chinabond("1102",F$1,$B155)</f>
        <v>0</v>
      </c>
      <c r="G155" s="7">
        <f ca="1">[1]!b_calc_curve_chinabond("1102",G$1,$B155)</f>
        <v>2.3174999999999999</v>
      </c>
      <c r="H155" s="7">
        <f ca="1">[1]!b_calc_curve_chinabond("1102",H$1,$B155)</f>
        <v>2.3187000000000002</v>
      </c>
      <c r="I155" s="7">
        <f ca="1">[1]!b_calc_curve_chinabond("1102",I$1,$B155)</f>
        <v>2.319</v>
      </c>
      <c r="J155" s="7">
        <f ca="1">[1]!b_calc_curve_chinabond("1102",J$1,$B155)</f>
        <v>2.3092999999999999</v>
      </c>
      <c r="K155" s="7">
        <f ca="1">[1]!b_calc_curve_chinabond("1102",K$1,$B155)</f>
        <v>2.286</v>
      </c>
      <c r="L155" s="7">
        <f ca="1">[1]!b_calc_curve_chinabond("1102",L$1,$B155)</f>
        <v>0</v>
      </c>
      <c r="M155" s="7">
        <f ca="1">[1]!b_calc_curve_chinabond("1102",M$1,$B155)</f>
        <v>0</v>
      </c>
      <c r="N155" s="7">
        <f ca="1">[1]!b_calc_curve_chinabond("1102",N$1,$B155)</f>
        <v>2.2726999999999999</v>
      </c>
      <c r="O155" s="7">
        <f ca="1">[1]!b_calc_curve_chinabond("1102",O$1,$B155)</f>
        <v>2.2507000000000001</v>
      </c>
      <c r="P155" s="7">
        <f ca="1">[1]!b_calc_curve_chinabond("1102",P$1,$B155)</f>
        <v>2.2488999999999999</v>
      </c>
      <c r="Q155" s="7">
        <f ca="1">[1]!b_calc_curve_chinabond("1102",Q$1,$B155)</f>
        <v>2.2450000000000001</v>
      </c>
      <c r="R155" s="7">
        <f ca="1">[1]!b_calc_curve_chinabond("1102",R$1,$B155)</f>
        <v>2.2414999999999998</v>
      </c>
      <c r="S155" s="7">
        <f ca="1">[1]!b_calc_curve_chinabond("1102",S$1,$B155)</f>
        <v>0</v>
      </c>
      <c r="T155" s="7">
        <f ca="1">[1]!b_calc_curve_chinabond("1102",T$1,$B155)</f>
        <v>0</v>
      </c>
      <c r="U155" s="7">
        <f ca="1">[1]!b_calc_curve_chinabond("1102",U$1,$B155)</f>
        <v>2.2521</v>
      </c>
      <c r="V155" s="7">
        <f ca="1">[1]!b_calc_curve_chinabond("1102",V$1,$B155)</f>
        <v>2.2578</v>
      </c>
      <c r="W155" s="7">
        <f ca="1">[1]!b_calc_curve_chinabond("1102",W$1,$B155)</f>
        <v>2.2681</v>
      </c>
      <c r="X155" s="7">
        <f ca="1">[1]!b_calc_curve_chinabond("1102",X$1,$B155)</f>
        <v>2.2949999999999999</v>
      </c>
      <c r="Y155" s="7">
        <f ca="1">[1]!b_calc_curve_chinabond("1102",Y$1,$B155)</f>
        <v>2.3018000000000001</v>
      </c>
      <c r="Z155" s="7">
        <f ca="1">[1]!b_calc_curve_chinabond("1102",Z$1,$B155)</f>
        <v>0</v>
      </c>
      <c r="AA155" s="7">
        <f ca="1">[1]!b_calc_curve_chinabond("1102",AA$1,$B155)</f>
        <v>0</v>
      </c>
      <c r="AB155" s="7">
        <f ca="1">[1]!b_calc_curve_chinabond("1102",AB$1,$B155)</f>
        <v>2.2959000000000001</v>
      </c>
      <c r="AC155" s="7">
        <f ca="1">[1]!b_calc_curve_chinabond("1102",AC$1,$B155)</f>
        <v>2.2848999999999999</v>
      </c>
      <c r="AD155" s="7">
        <f ca="1">[1]!b_calc_curve_chinabond("1102",AD$1,$B155)</f>
        <v>2.2679</v>
      </c>
      <c r="AE155" s="7">
        <f ca="1">[1]!b_calc_curve_chinabond("1102",AE$1,$B155)</f>
        <v>2.254</v>
      </c>
      <c r="AF155" s="7">
        <f ca="1">[1]!b_calc_curve_chinabond("1102",AF$1,$B155)</f>
        <v>0</v>
      </c>
      <c r="AG155" s="7">
        <f ca="1">[1]!b_calc_curve_chinabond("1102",AG$1,$B155)</f>
        <v>0</v>
      </c>
      <c r="AH155" s="7">
        <f ca="1">[1]!b_calc_curve_chinabond("1102",AH$1,$B155)</f>
        <v>0</v>
      </c>
      <c r="AI155" s="7">
        <f ca="1">[1]!b_calc_curve_chinabond("1102",AI$1,$B155)</f>
        <v>0</v>
      </c>
    </row>
    <row r="156" spans="1:35" ht="19.5" customHeight="1">
      <c r="A156" s="1" t="s">
        <v>156</v>
      </c>
      <c r="B156" s="2">
        <v>14.8</v>
      </c>
      <c r="C156" s="7">
        <f ca="1">[1]!b_calc_curve_chinabond("1102",C$1,$B156)</f>
        <v>2.3296000000000001</v>
      </c>
      <c r="D156" s="7">
        <f ca="1">[1]!b_calc_curve_chinabond("1102",D$1,$B156)</f>
        <v>2.3292999999999999</v>
      </c>
      <c r="E156" s="7">
        <f ca="1">[1]!b_calc_curve_chinabond("1102",E$1,$B156)</f>
        <v>0</v>
      </c>
      <c r="F156" s="7">
        <f ca="1">[1]!b_calc_curve_chinabond("1102",F$1,$B156)</f>
        <v>0</v>
      </c>
      <c r="G156" s="7">
        <f ca="1">[1]!b_calc_curve_chinabond("1102",G$1,$B156)</f>
        <v>2.3203999999999998</v>
      </c>
      <c r="H156" s="7">
        <f ca="1">[1]!b_calc_curve_chinabond("1102",H$1,$B156)</f>
        <v>2.3222999999999998</v>
      </c>
      <c r="I156" s="7">
        <f ca="1">[1]!b_calc_curve_chinabond("1102",I$1,$B156)</f>
        <v>2.3228</v>
      </c>
      <c r="J156" s="7">
        <f ca="1">[1]!b_calc_curve_chinabond("1102",J$1,$B156)</f>
        <v>2.3130999999999999</v>
      </c>
      <c r="K156" s="7">
        <f ca="1">[1]!b_calc_curve_chinabond("1102",K$1,$B156)</f>
        <v>2.2896999999999998</v>
      </c>
      <c r="L156" s="7">
        <f ca="1">[1]!b_calc_curve_chinabond("1102",L$1,$B156)</f>
        <v>0</v>
      </c>
      <c r="M156" s="7">
        <f ca="1">[1]!b_calc_curve_chinabond("1102",M$1,$B156)</f>
        <v>0</v>
      </c>
      <c r="N156" s="7">
        <f ca="1">[1]!b_calc_curve_chinabond("1102",N$1,$B156)</f>
        <v>2.2763</v>
      </c>
      <c r="O156" s="7">
        <f ca="1">[1]!b_calc_curve_chinabond("1102",O$1,$B156)</f>
        <v>2.2541000000000002</v>
      </c>
      <c r="P156" s="7">
        <f ca="1">[1]!b_calc_curve_chinabond("1102",P$1,$B156)</f>
        <v>2.2522000000000002</v>
      </c>
      <c r="Q156" s="7">
        <f ca="1">[1]!b_calc_curve_chinabond("1102",Q$1,$B156)</f>
        <v>2.2484999999999999</v>
      </c>
      <c r="R156" s="7">
        <f ca="1">[1]!b_calc_curve_chinabond("1102",R$1,$B156)</f>
        <v>2.2448000000000001</v>
      </c>
      <c r="S156" s="7">
        <f ca="1">[1]!b_calc_curve_chinabond("1102",S$1,$B156)</f>
        <v>0</v>
      </c>
      <c r="T156" s="7">
        <f ca="1">[1]!b_calc_curve_chinabond("1102",T$1,$B156)</f>
        <v>0</v>
      </c>
      <c r="U156" s="7">
        <f ca="1">[1]!b_calc_curve_chinabond("1102",U$1,$B156)</f>
        <v>2.2553999999999998</v>
      </c>
      <c r="V156" s="7">
        <f ca="1">[1]!b_calc_curve_chinabond("1102",V$1,$B156)</f>
        <v>2.2608000000000001</v>
      </c>
      <c r="W156" s="7">
        <f ca="1">[1]!b_calc_curve_chinabond("1102",W$1,$B156)</f>
        <v>2.2711999999999999</v>
      </c>
      <c r="X156" s="7">
        <f ca="1">[1]!b_calc_curve_chinabond("1102",X$1,$B156)</f>
        <v>2.2978000000000001</v>
      </c>
      <c r="Y156" s="7">
        <f ca="1">[1]!b_calc_curve_chinabond("1102",Y$1,$B156)</f>
        <v>2.3050000000000002</v>
      </c>
      <c r="Z156" s="7">
        <f ca="1">[1]!b_calc_curve_chinabond("1102",Z$1,$B156)</f>
        <v>0</v>
      </c>
      <c r="AA156" s="7">
        <f ca="1">[1]!b_calc_curve_chinabond("1102",AA$1,$B156)</f>
        <v>0</v>
      </c>
      <c r="AB156" s="7">
        <f ca="1">[1]!b_calc_curve_chinabond("1102",AB$1,$B156)</f>
        <v>2.2989999999999999</v>
      </c>
      <c r="AC156" s="7">
        <f ca="1">[1]!b_calc_curve_chinabond("1102",AC$1,$B156)</f>
        <v>2.2881999999999998</v>
      </c>
      <c r="AD156" s="7">
        <f ca="1">[1]!b_calc_curve_chinabond("1102",AD$1,$B156)</f>
        <v>2.2709000000000001</v>
      </c>
      <c r="AE156" s="7">
        <f ca="1">[1]!b_calc_curve_chinabond("1102",AE$1,$B156)</f>
        <v>2.2568000000000001</v>
      </c>
      <c r="AF156" s="7">
        <f ca="1">[1]!b_calc_curve_chinabond("1102",AF$1,$B156)</f>
        <v>0</v>
      </c>
      <c r="AG156" s="7">
        <f ca="1">[1]!b_calc_curve_chinabond("1102",AG$1,$B156)</f>
        <v>0</v>
      </c>
      <c r="AH156" s="7">
        <f ca="1">[1]!b_calc_curve_chinabond("1102",AH$1,$B156)</f>
        <v>0</v>
      </c>
      <c r="AI156" s="7">
        <f ca="1">[1]!b_calc_curve_chinabond("1102",AI$1,$B156)</f>
        <v>0</v>
      </c>
    </row>
    <row r="157" spans="1:35" ht="19.5" customHeight="1">
      <c r="A157" s="3" t="s">
        <v>157</v>
      </c>
      <c r="B157" s="4">
        <v>14.9</v>
      </c>
      <c r="C157" s="7">
        <f ca="1">[1]!b_calc_curve_chinabond("1102",C$1,$B157)</f>
        <v>2.3325999999999998</v>
      </c>
      <c r="D157" s="7">
        <f ca="1">[1]!b_calc_curve_chinabond("1102",D$1,$B157)</f>
        <v>2.3323999999999998</v>
      </c>
      <c r="E157" s="7">
        <f ca="1">[1]!b_calc_curve_chinabond("1102",E$1,$B157)</f>
        <v>0</v>
      </c>
      <c r="F157" s="7">
        <f ca="1">[1]!b_calc_curve_chinabond("1102",F$1,$B157)</f>
        <v>0</v>
      </c>
      <c r="G157" s="7">
        <f ca="1">[1]!b_calc_curve_chinabond("1102",G$1,$B157)</f>
        <v>2.3233999999999999</v>
      </c>
      <c r="H157" s="7">
        <f ca="1">[1]!b_calc_curve_chinabond("1102",H$1,$B157)</f>
        <v>2.3258000000000001</v>
      </c>
      <c r="I157" s="7">
        <f ca="1">[1]!b_calc_curve_chinabond("1102",I$1,$B157)</f>
        <v>2.3264</v>
      </c>
      <c r="J157" s="7">
        <f ca="1">[1]!b_calc_curve_chinabond("1102",J$1,$B157)</f>
        <v>2.3168000000000002</v>
      </c>
      <c r="K157" s="7">
        <f ca="1">[1]!b_calc_curve_chinabond("1102",K$1,$B157)</f>
        <v>2.2932999999999999</v>
      </c>
      <c r="L157" s="7">
        <f ca="1">[1]!b_calc_curve_chinabond("1102",L$1,$B157)</f>
        <v>0</v>
      </c>
      <c r="M157" s="7">
        <f ca="1">[1]!b_calc_curve_chinabond("1102",M$1,$B157)</f>
        <v>0</v>
      </c>
      <c r="N157" s="7">
        <f ca="1">[1]!b_calc_curve_chinabond("1102",N$1,$B157)</f>
        <v>2.2797999999999998</v>
      </c>
      <c r="O157" s="7">
        <f ca="1">[1]!b_calc_curve_chinabond("1102",O$1,$B157)</f>
        <v>2.2574000000000001</v>
      </c>
      <c r="P157" s="7">
        <f ca="1">[1]!b_calc_curve_chinabond("1102",P$1,$B157)</f>
        <v>2.2555000000000001</v>
      </c>
      <c r="Q157" s="7">
        <f ca="1">[1]!b_calc_curve_chinabond("1102",Q$1,$B157)</f>
        <v>2.2519999999999998</v>
      </c>
      <c r="R157" s="7">
        <f ca="1">[1]!b_calc_curve_chinabond("1102",R$1,$B157)</f>
        <v>2.2480000000000002</v>
      </c>
      <c r="S157" s="7">
        <f ca="1">[1]!b_calc_curve_chinabond("1102",S$1,$B157)</f>
        <v>0</v>
      </c>
      <c r="T157" s="7">
        <f ca="1">[1]!b_calc_curve_chinabond("1102",T$1,$B157)</f>
        <v>0</v>
      </c>
      <c r="U157" s="7">
        <f ca="1">[1]!b_calc_curve_chinabond("1102",U$1,$B157)</f>
        <v>2.2587000000000002</v>
      </c>
      <c r="V157" s="7">
        <f ca="1">[1]!b_calc_curve_chinabond("1102",V$1,$B157)</f>
        <v>2.2637999999999998</v>
      </c>
      <c r="W157" s="7">
        <f ca="1">[1]!b_calc_curve_chinabond("1102",W$1,$B157)</f>
        <v>2.2743000000000002</v>
      </c>
      <c r="X157" s="7">
        <f ca="1">[1]!b_calc_curve_chinabond("1102",X$1,$B157)</f>
        <v>2.3007</v>
      </c>
      <c r="Y157" s="7">
        <f ca="1">[1]!b_calc_curve_chinabond("1102",Y$1,$B157)</f>
        <v>2.3081999999999998</v>
      </c>
      <c r="Z157" s="7">
        <f ca="1">[1]!b_calc_curve_chinabond("1102",Z$1,$B157)</f>
        <v>0</v>
      </c>
      <c r="AA157" s="7">
        <f ca="1">[1]!b_calc_curve_chinabond("1102",AA$1,$B157)</f>
        <v>0</v>
      </c>
      <c r="AB157" s="7">
        <f ca="1">[1]!b_calc_curve_chinabond("1102",AB$1,$B157)</f>
        <v>2.3020999999999998</v>
      </c>
      <c r="AC157" s="7">
        <f ca="1">[1]!b_calc_curve_chinabond("1102",AC$1,$B157)</f>
        <v>2.2913000000000001</v>
      </c>
      <c r="AD157" s="7">
        <f ca="1">[1]!b_calc_curve_chinabond("1102",AD$1,$B157)</f>
        <v>2.2738999999999998</v>
      </c>
      <c r="AE157" s="7">
        <f ca="1">[1]!b_calc_curve_chinabond("1102",AE$1,$B157)</f>
        <v>2.2597</v>
      </c>
      <c r="AF157" s="7">
        <f ca="1">[1]!b_calc_curve_chinabond("1102",AF$1,$B157)</f>
        <v>0</v>
      </c>
      <c r="AG157" s="7">
        <f ca="1">[1]!b_calc_curve_chinabond("1102",AG$1,$B157)</f>
        <v>0</v>
      </c>
      <c r="AH157" s="7">
        <f ca="1">[1]!b_calc_curve_chinabond("1102",AH$1,$B157)</f>
        <v>0</v>
      </c>
      <c r="AI157" s="7">
        <f ca="1">[1]!b_calc_curve_chinabond("1102",AI$1,$B157)</f>
        <v>0</v>
      </c>
    </row>
    <row r="158" spans="1:35" ht="19.5" customHeight="1">
      <c r="A158" s="1" t="s">
        <v>158</v>
      </c>
      <c r="B158" s="2">
        <v>15</v>
      </c>
      <c r="C158" s="7">
        <f ca="1">[1]!b_calc_curve_chinabond("1102",C$1,$B158)</f>
        <v>2.3355999999999999</v>
      </c>
      <c r="D158" s="7">
        <f ca="1">[1]!b_calc_curve_chinabond("1102",D$1,$B158)</f>
        <v>2.3355999999999999</v>
      </c>
      <c r="E158" s="7">
        <f ca="1">[1]!b_calc_curve_chinabond("1102",E$1,$B158)</f>
        <v>0</v>
      </c>
      <c r="F158" s="7">
        <f ca="1">[1]!b_calc_curve_chinabond("1102",F$1,$B158)</f>
        <v>0</v>
      </c>
      <c r="G158" s="7">
        <f ca="1">[1]!b_calc_curve_chinabond("1102",G$1,$B158)</f>
        <v>2.3264</v>
      </c>
      <c r="H158" s="7">
        <f ca="1">[1]!b_calc_curve_chinabond("1102",H$1,$B158)</f>
        <v>2.3292000000000002</v>
      </c>
      <c r="I158" s="7">
        <f ca="1">[1]!b_calc_curve_chinabond("1102",I$1,$B158)</f>
        <v>2.3300999999999998</v>
      </c>
      <c r="J158" s="7">
        <f ca="1">[1]!b_calc_curve_chinabond("1102",J$1,$B158)</f>
        <v>2.3203999999999998</v>
      </c>
      <c r="K158" s="7">
        <f ca="1">[1]!b_calc_curve_chinabond("1102",K$1,$B158)</f>
        <v>2.2968000000000002</v>
      </c>
      <c r="L158" s="7">
        <f ca="1">[1]!b_calc_curve_chinabond("1102",L$1,$B158)</f>
        <v>0</v>
      </c>
      <c r="M158" s="7">
        <f ca="1">[1]!b_calc_curve_chinabond("1102",M$1,$B158)</f>
        <v>0</v>
      </c>
      <c r="N158" s="7">
        <f ca="1">[1]!b_calc_curve_chinabond("1102",N$1,$B158)</f>
        <v>2.2831999999999999</v>
      </c>
      <c r="O158" s="7">
        <f ca="1">[1]!b_calc_curve_chinabond("1102",O$1,$B158)</f>
        <v>2.2606000000000002</v>
      </c>
      <c r="P158" s="7">
        <f ca="1">[1]!b_calc_curve_chinabond("1102",P$1,$B158)</f>
        <v>2.2587000000000002</v>
      </c>
      <c r="Q158" s="7">
        <f ca="1">[1]!b_calc_curve_chinabond("1102",Q$1,$B158)</f>
        <v>2.2553000000000001</v>
      </c>
      <c r="R158" s="7">
        <f ca="1">[1]!b_calc_curve_chinabond("1102",R$1,$B158)</f>
        <v>2.2511999999999999</v>
      </c>
      <c r="S158" s="7">
        <f ca="1">[1]!b_calc_curve_chinabond("1102",S$1,$B158)</f>
        <v>0</v>
      </c>
      <c r="T158" s="7">
        <f ca="1">[1]!b_calc_curve_chinabond("1102",T$1,$B158)</f>
        <v>0</v>
      </c>
      <c r="U158" s="7">
        <f ca="1">[1]!b_calc_curve_chinabond("1102",U$1,$B158)</f>
        <v>2.2618999999999998</v>
      </c>
      <c r="V158" s="7">
        <f ca="1">[1]!b_calc_curve_chinabond("1102",V$1,$B158)</f>
        <v>2.2667999999999999</v>
      </c>
      <c r="W158" s="7">
        <f ca="1">[1]!b_calc_curve_chinabond("1102",W$1,$B158)</f>
        <v>2.2772999999999999</v>
      </c>
      <c r="X158" s="7">
        <f ca="1">[1]!b_calc_curve_chinabond("1102",X$1,$B158)</f>
        <v>2.3035000000000001</v>
      </c>
      <c r="Y158" s="7">
        <f ca="1">[1]!b_calc_curve_chinabond("1102",Y$1,$B158)</f>
        <v>2.3113000000000001</v>
      </c>
      <c r="Z158" s="7">
        <f ca="1">[1]!b_calc_curve_chinabond("1102",Z$1,$B158)</f>
        <v>0</v>
      </c>
      <c r="AA158" s="7">
        <f ca="1">[1]!b_calc_curve_chinabond("1102",AA$1,$B158)</f>
        <v>0</v>
      </c>
      <c r="AB158" s="7">
        <f ca="1">[1]!b_calc_curve_chinabond("1102",AB$1,$B158)</f>
        <v>2.3052000000000001</v>
      </c>
      <c r="AC158" s="7">
        <f ca="1">[1]!b_calc_curve_chinabond("1102",AC$1,$B158)</f>
        <v>2.2944</v>
      </c>
      <c r="AD158" s="7">
        <f ca="1">[1]!b_calc_curve_chinabond("1102",AD$1,$B158)</f>
        <v>2.2768999999999999</v>
      </c>
      <c r="AE158" s="7">
        <f ca="1">[1]!b_calc_curve_chinabond("1102",AE$1,$B158)</f>
        <v>2.2625000000000002</v>
      </c>
      <c r="AF158" s="7">
        <f ca="1">[1]!b_calc_curve_chinabond("1102",AF$1,$B158)</f>
        <v>0</v>
      </c>
      <c r="AG158" s="7">
        <f ca="1">[1]!b_calc_curve_chinabond("1102",AG$1,$B158)</f>
        <v>0</v>
      </c>
      <c r="AH158" s="7">
        <f ca="1">[1]!b_calc_curve_chinabond("1102",AH$1,$B158)</f>
        <v>0</v>
      </c>
      <c r="AI158" s="7">
        <f ca="1">[1]!b_calc_curve_chinabond("1102",AI$1,$B158)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期限结构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文俊 董</cp:lastModifiedBy>
  <dcterms:modified xsi:type="dcterms:W3CDTF">2026-06-22T02:06:02Z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A1A728B4-52A4-4A9F-8DB8-83CF33F61705</vt:lpwstr>
  </property>
</Properties>
</file>